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358aad08634e05" /></Relationships>
</file>

<file path=xl/workbook.xml><?xml version="1.0" encoding="utf-8"?>
<x:workbook xmlns:x="http://schemas.openxmlformats.org/spreadsheetml/2006/main">
  <x:sheets>
    <x:sheet xmlns:r="http://schemas.openxmlformats.org/officeDocument/2006/relationships" name="Feature Stories" sheetId="1" r:id="R089f5b0ac087444a"/>
    <x:sheet xmlns:r="http://schemas.openxmlformats.org/officeDocument/2006/relationships" name="Issue Log" sheetId="2" r:id="Rd47f6261537f4576"/>
    <x:sheet xmlns:r="http://schemas.openxmlformats.org/officeDocument/2006/relationships" name="Test Runs" sheetId="3" r:id="R45ddc455176d46db"/>
    <x:sheet xmlns:r="http://schemas.openxmlformats.org/officeDocument/2006/relationships" name="Status Summary" sheetId="4" r:id="Rcfc6695026be4022"/>
    <x:sheet xmlns:r="http://schemas.openxmlformats.org/officeDocument/2006/relationships" name="Identity Matrix" sheetId="5" r:id="R8a07f6faf5c04d8c"/>
    <x:sheet xmlns:r="http://schemas.openxmlformats.org/officeDocument/2006/relationships" name="Identity Findings" sheetId="6" r:id="Rbe5af3c24aa64776"/>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sz val="11"/>
      <x:color rgb="FFFFFFFF"/>
      <x:name val="Carlito"/>
    </x:font>
    <x:font>
      <x:b/>
      <x:sz val="11"/>
      <x:color rgb="FFFFFFFF"/>
      <x:name val="Carlito"/>
    </x:font>
    <x:font>
      <x:b/>
      <x:sz val="16"/>
      <x:color rgb="FFFFFFFF"/>
      <x:name val="Carlito"/>
    </x:font>
    <x:font>
      <x:sz val="11"/>
      <x:color rgb="FF243447"/>
      <x:name val="Carlito"/>
    </x:font>
    <x:font>
      <x:b/>
      <x:sz val="14"/>
      <x:color rgb="FFFFFFFF"/>
      <x:name val="Carlito"/>
    </x:font>
    <x:font>
      <x:sz val="11"/>
      <x:color rgb="FF172554"/>
      <x:name val="Carlito"/>
    </x:font>
    <x:font>
      <x:b/>
      <x:sz val="11"/>
      <x:name val="Carlito"/>
    </x:font>
    <x:font>
      <x:sz val="11"/>
      <x:color rgb="FF0F172A"/>
      <x:name val="Carlito"/>
    </x:font>
  </x:fonts>
  <x:fills count="19">
    <x:fill>
      <x:patternFill patternType="none"/>
    </x:fill>
    <x:fill>
      <x:patternFill patternType="gray125"/>
    </x:fill>
    <x:fill>
      <x:patternFill patternType="solid">
        <x:fgColor rgb="FF0E1B2A"/>
      </x:patternFill>
    </x:fill>
    <x:fill>
      <x:patternFill patternType="solid">
        <x:fgColor rgb="FFEAF2F8"/>
      </x:patternFill>
    </x:fill>
    <x:fill>
      <x:patternFill patternType="solid">
        <x:fgColor rgb="FF1F4E79"/>
      </x:patternFill>
    </x:fill>
    <x:fill>
      <x:patternFill patternType="solid">
        <x:fgColor rgb="FF7A3E10"/>
      </x:patternFill>
    </x:fill>
    <x:fill>
      <x:patternFill patternType="solid">
        <x:fgColor rgb="FF3D5A2A"/>
      </x:patternFill>
    </x:fill>
    <x:fill>
      <x:patternFill patternType="solid">
        <x:fgColor rgb="FF0F172A"/>
      </x:patternFill>
    </x:fill>
    <x:fill>
      <x:patternFill patternType="solid">
        <x:fgColor rgb="FFEFF6FF"/>
      </x:patternFill>
    </x:fill>
    <x:fill>
      <x:patternFill patternType="solid">
        <x:fgColor rgb="FF1F4E79"/>
      </x:patternFill>
    </x:fill>
    <x:fill>
      <x:patternFill patternType="solid">
        <x:fgColor rgb="FFF8FAFC"/>
      </x:patternFill>
    </x:fill>
    <x:fill>
      <x:patternFill patternType="solid">
        <x:fgColor rgb="FF0F172A"/>
      </x:patternFill>
    </x:fill>
    <x:fill>
      <x:patternFill patternType="solid">
        <x:fgColor rgb="FFEFF6FF"/>
      </x:patternFill>
    </x:fill>
    <x:fill>
      <x:patternFill patternType="solid">
        <x:fgColor rgb="FF1F4E79"/>
      </x:patternFill>
    </x:fill>
    <x:fill>
      <x:patternFill patternType="solid">
        <x:fgColor rgb="FFF8FAFC"/>
      </x:patternFill>
    </x:fill>
    <x:fill>
      <x:patternFill patternType="solid">
        <x:fgColor rgb="FF0F172A"/>
      </x:patternFill>
    </x:fill>
    <x:fill>
      <x:patternFill patternType="solid">
        <x:fgColor rgb="FFEFF6FF"/>
      </x:patternFill>
    </x:fill>
    <x:fill>
      <x:patternFill patternType="solid">
        <x:fgColor rgb="FF1F4E79"/>
      </x:patternFill>
    </x:fill>
    <x:fill>
      <x:patternFill patternType="solid">
        <x:fgColor rgb="FFF8FAFC"/>
      </x:patternFill>
    </x:fill>
  </x:fills>
  <x:borders count="11">
    <x:border/>
    <x:border>
      <x:left style="thin">
        <x:color rgb="FFC9D6E2"/>
      </x:left>
      <x:top style="thin">
        <x:color rgb="FFC9D6E2"/>
      </x:top>
      <x:bottom style="thin">
        <x:color rgb="FFC9D6E2"/>
      </x:bottom>
    </x:border>
    <x:border>
      <x:top style="thin">
        <x:color rgb="FFC9D6E2"/>
      </x:top>
      <x:bottom style="thin">
        <x:color rgb="FFC9D6E2"/>
      </x:bottom>
    </x:border>
    <x:border>
      <x:right style="thin">
        <x:color rgb="FFC9D6E2"/>
      </x:right>
      <x:top style="thin">
        <x:color rgb="FFC9D6E2"/>
      </x:top>
      <x:bottom style="thin">
        <x:color rgb="FFC9D6E2"/>
      </x:bottom>
    </x:border>
    <x:border>
      <x:top style="thin">
        <x:color rgb="FFDDE7F0"/>
      </x:top>
      <x:bottom style="thin">
        <x:color rgb="FFE6EDF3"/>
      </x:bottom>
    </x:border>
    <x:border>
      <x:top style="thin">
        <x:color rgb="FFE6EDF3"/>
      </x:top>
      <x:bottom style="thin">
        <x:color rgb="FFE6EDF3"/>
      </x:bottom>
    </x:border>
    <x:border>
      <x:top style="thin">
        <x:color rgb="FFE6EDF3"/>
      </x:top>
      <x:bottom style="thin">
        <x:color rgb="FFDDE7F0"/>
      </x:bottom>
    </x:border>
    <x:border>
      <x:top style="thin">
        <x:color rgb="FFDDE7F0"/>
      </x:top>
      <x:bottom style="thin">
        <x:color rgb="FFDDE7F0"/>
      </x:bottom>
    </x:border>
    <x:border>
      <x:left style="thin">
        <x:color rgb="FFD7DEE8"/>
      </x:left>
      <x:right style="thin">
        <x:color rgb="FFE6EBF2"/>
      </x:right>
      <x:top style="thin">
        <x:color rgb="FFD7DEE8"/>
      </x:top>
      <x:bottom style="thin">
        <x:color rgb="FFD7DEE8"/>
      </x:bottom>
    </x:border>
    <x:border>
      <x:left style="thin">
        <x:color rgb="FFE6EBF2"/>
      </x:left>
      <x:right style="thin">
        <x:color rgb="FFE6EBF2"/>
      </x:right>
      <x:top style="thin">
        <x:color rgb="FFD7DEE8"/>
      </x:top>
      <x:bottom style="thin">
        <x:color rgb="FFD7DEE8"/>
      </x:bottom>
    </x:border>
    <x:border>
      <x:left style="thin">
        <x:color rgb="FFE6EBF2"/>
      </x:left>
      <x:right style="thin">
        <x:color rgb="FFD7DEE8"/>
      </x:right>
      <x:top style="thin">
        <x:color rgb="FFD7DEE8"/>
      </x:top>
      <x:bottom style="thin">
        <x:color rgb="FFD7DEE8"/>
      </x:bottom>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2" xfId="0" applyNumberFormat="1" applyFont="1" applyFill="1" applyBorder="1" applyAlignment="1">
      <x:alignment wrapText="1"/>
    </x:xf>
    <x:xf numFmtId="0" fontId="2" fillId="4" borderId="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4"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6" xfId="0" applyNumberFormat="1" applyFont="1" applyFill="1" applyBorder="1" applyAlignment="1">
      <x:alignment horizontal="center" vertical="top" wrapText="1"/>
    </x:xf>
    <x:xf numFmtId="0" fontId="0" fillId="5" borderId="0" xfId="0" applyNumberFormat="1" applyFont="1" applyFill="1" applyBorder="1"/>
    <x:xf numFmtId="0" fontId="1"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1" xfId="0" applyNumberFormat="1" applyFont="1" applyFill="1" applyBorder="1" applyAlignment="1">
      <x:alignment wrapText="1"/>
    </x:xf>
    <x:xf numFmtId="0" fontId="2" fillId="5" borderId="2" xfId="0" applyNumberFormat="1" applyFont="1" applyFill="1" applyBorder="1" applyAlignment="1">
      <x:alignment wrapText="1"/>
    </x:xf>
    <x:xf numFmtId="0" fontId="2" fillId="5" borderId="3" xfId="0" applyNumberFormat="1" applyFont="1" applyFill="1" applyBorder="1" applyAlignment="1">
      <x:alignment wrapText="1"/>
    </x:xf>
    <x:xf numFmtId="0" fontId="0" fillId="0" borderId="7"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1" xfId="0" applyNumberFormat="1" applyFont="1" applyFill="1" applyBorder="1" applyAlignment="1">
      <x:alignment wrapText="1"/>
    </x:xf>
    <x:xf numFmtId="0" fontId="2" fillId="6" borderId="2" xfId="0" applyNumberFormat="1" applyFont="1" applyFill="1" applyBorder="1" applyAlignment="1">
      <x:alignment wrapText="1"/>
    </x:xf>
    <x:xf numFmtId="0" fontId="2" fillId="6" borderId="3"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3" xfId="0" applyNumberFormat="1" applyFont="1" applyFill="1" applyBorder="1" applyAlignment="1">
      <x:alignment wrapText="1"/>
    </x:xf>
    <x:xf numFmtId="0" fontId="2" fillId="5" borderId="1" xfId="0" applyNumberFormat="1" applyFont="1" applyFill="1" applyBorder="1" applyAlignment="1">
      <x:alignment vertical="top" wrapText="1"/>
    </x:xf>
    <x:xf numFmtId="0" fontId="2" fillId="5" borderId="3" xfId="0" applyNumberFormat="1" applyFont="1" applyFill="1" applyBorder="1" applyAlignment="1">
      <x:alignment vertical="top" wrapText="1"/>
    </x:xf>
    <x:xf numFmtId="0" fontId="2" fillId="5" borderId="5"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2" fillId="6" borderId="3" xfId="0" applyNumberFormat="1" applyFont="1" applyFill="1" applyBorder="1" applyAlignment="1">
      <x:alignment vertical="top" wrapText="1"/>
    </x:xf>
    <x:xf numFmtId="0" fontId="2" fillId="6" borderId="5" xfId="0" applyNumberFormat="1" applyFont="1" applyFill="1" applyBorder="1" applyAlignment="1">
      <x:alignment vertical="top" wrapText="1"/>
    </x:xf>
    <x:xf numFmtId="0" fontId="2" fillId="5" borderId="5" xfId="0" applyNumberFormat="1" applyFont="1" applyFill="1" applyBorder="1" applyAlignment="1">
      <x:alignment horizontal="center" vertical="top" wrapText="1"/>
    </x:xf>
    <x:xf numFmtId="0" fontId="2" fillId="6" borderId="5" xfId="0" applyNumberFormat="1" applyFont="1" applyFill="1" applyBorder="1" applyAlignment="1">
      <x:alignment horizontal="center" vertical="top" wrapText="1"/>
    </x:xf>
    <x:xf numFmtId="0" fontId="0" fillId="7" borderId="0" xfId="0" applyNumberFormat="1" applyFont="1" applyFill="1" applyBorder="1"/>
    <x:xf numFmtId="0" fontId="5" fillId="7"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10" borderId="8" xfId="0" applyNumberFormat="1" applyFont="1" applyFill="1" applyBorder="1" applyAlignment="1">
      <x:alignment vertical="top" wrapText="1"/>
    </x:xf>
    <x:xf numFmtId="0" fontId="7" fillId="10" borderId="8"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top" wrapText="1"/>
    </x:xf>
    <x:xf numFmtId="0" fontId="0" fillId="11" borderId="0" xfId="0" applyNumberFormat="1" applyFont="1" applyFill="1" applyBorder="1"/>
    <x:xf numFmtId="0" fontId="5" fillId="11" borderId="0" xfId="0" applyNumberFormat="1" applyFont="1" applyFill="1" applyBorder="1"/>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wrapText="1"/>
    </x:xf>
    <x:xf numFmtId="0" fontId="6" fillId="12" borderId="0" xfId="0" applyNumberFormat="1" applyFont="1" applyFill="1" applyBorder="1" applyAlignment="1">
      <x:alignment vertical="top"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vertical="top" wrapText="1"/>
    </x:xf>
    <x:xf numFmtId="0" fontId="0" fillId="14" borderId="8" xfId="0" applyNumberFormat="1" applyFont="1" applyFill="1" applyBorder="1" applyAlignment="1">
      <x:alignment vertical="top" wrapText="1"/>
    </x:xf>
    <x:xf numFmtId="0" fontId="7" fillId="14" borderId="8" xfId="0" applyNumberFormat="1" applyFont="1" applyFill="1" applyBorder="1" applyAlignment="1">
      <x:alignment vertical="top" wrapText="1"/>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xf numFmtId="0" fontId="8" fillId="14" borderId="0" xfId="0" applyNumberFormat="1" applyFont="1" applyFill="1" applyBorder="1" applyAlignment="1">
      <x:alignment vertical="top" wrapText="1"/>
    </x:xf>
    <x:xf numFmtId="0" fontId="0" fillId="15" borderId="0" xfId="0" applyNumberFormat="1" applyFont="1" applyFill="1" applyBorder="1"/>
    <x:xf numFmtId="0" fontId="5" fillId="15" borderId="0" xfId="0" applyNumberFormat="1" applyFont="1" applyFill="1" applyBorder="1"/>
    <x:xf numFmtId="0" fontId="0" fillId="16"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wrapText="1"/>
    </x:xf>
    <x:xf numFmtId="0" fontId="6" fillId="16" borderId="0" xfId="0" applyNumberFormat="1" applyFont="1" applyFill="1" applyBorder="1" applyAlignment="1">
      <x:alignment vertical="top"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vertical="top" wrapText="1"/>
    </x:xf>
    <x:xf numFmtId="0" fontId="0" fillId="18" borderId="8" xfId="0" applyNumberFormat="1" applyFont="1" applyFill="1" applyBorder="1" applyAlignment="1">
      <x:alignment vertical="top" wrapText="1"/>
    </x:xf>
    <x:xf numFmtId="0" fontId="7" fillId="18" borderId="8" xfId="0" applyNumberFormat="1" applyFont="1" applyFill="1" applyBorder="1" applyAlignment="1">
      <x:alignment vertical="top" wrapText="1"/>
    </x:xf>
    <x:xf numFmtId="0" fontId="0" fillId="18" borderId="0" xfId="0" applyNumberFormat="1" applyFont="1" applyFill="1" applyBorder="1"/>
    <x:xf numFmtId="0" fontId="8" fillId="18" borderId="0" xfId="0" applyNumberFormat="1" applyFont="1" applyFill="1" applyBorder="1"/>
    <x:xf numFmtId="0" fontId="8" fillId="18" borderId="0" xfId="0" applyNumberFormat="1" applyFont="1" applyFill="1" applyBorder="1" applyAlignment="1">
      <x:alignment wrapText="1"/>
    </x:xf>
    <x:xf numFmtId="0" fontId="8" fillId="1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26194a58e741dc" /><Relationship Type="http://schemas.openxmlformats.org/officeDocument/2006/relationships/theme" Target="/xl/theme/theme1.xml" Id="R958a5d168a91474a" /><Relationship Type="http://schemas.openxmlformats.org/officeDocument/2006/relationships/sharedStrings" Target="/xl/sharedStrings.xml" Id="R4cbfedbbe6514d00" /><Relationship Type="http://schemas.openxmlformats.org/officeDocument/2006/relationships/worksheet" Target="/xl/worksheets/sheet1.xml" Id="R089f5b0ac087444a" /><Relationship Type="http://schemas.openxmlformats.org/officeDocument/2006/relationships/worksheet" Target="/xl/worksheets/sheet2.xml" Id="Rd47f6261537f4576" /><Relationship Type="http://schemas.openxmlformats.org/officeDocument/2006/relationships/worksheet" Target="/xl/worksheets/sheet3.xml" Id="R45ddc455176d46db" /><Relationship Type="http://schemas.openxmlformats.org/officeDocument/2006/relationships/worksheet" Target="/xl/worksheets/sheet4.xml" Id="Rcfc6695026be4022" /><Relationship Type="http://schemas.openxmlformats.org/officeDocument/2006/relationships/worksheet" Target="/xl/worksheets/sheet5.xml" Id="R8a07f6faf5c04d8c" /><Relationship Type="http://schemas.openxmlformats.org/officeDocument/2006/relationships/worksheet" Target="/xl/worksheets/sheet6.xml" Id="Rbe5af3c24aa647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28" hidden="0" customWidth="1"/>
    <x:col min="4" max="4" width="48" hidden="0" customWidth="1"/>
    <x:col min="5" max="5" width="64" hidden="0" customWidth="1"/>
    <x:col min="6" max="6" width="54" hidden="0" customWidth="1"/>
    <x:col min="7" max="7" width="48" hidden="0" customWidth="1"/>
    <x:col min="8" max="8" width="20" hidden="0" customWidth="1"/>
    <x:col min="9" max="9" width="24" hidden="0" customWidth="1"/>
    <x:col min="10" max="10" width="16" hidden="0" customWidth="1"/>
    <x:col min="11" max="11" width="18" hidden="0" customWidth="1"/>
    <x:col min="12" max="12" width="20" hidden="0" customWidth="1"/>
    <x:col min="13" max="13" width="36" hidden="0" customWidth="1"/>
  </x:cols>
  <x:sheetData>
    <x:row r="1">
      <x:c r="A1" s="4" t="str">
        <x:v>POKROV Flutter Feature User Stories</x:v>
      </x:c>
      <x:c r="B1" s="4"/>
      <x:c r="C1" s="4"/>
      <x:c r="D1" s="4"/>
      <x:c r="E1" s="4"/>
      <x:c r="F1" s="4"/>
      <x:c r="G1" s="4"/>
      <x:c r="H1" s="4"/>
      <x:c r="I1" s="4"/>
      <x:c r="J1" s="4"/>
      <x:c r="K1" s="4"/>
      <x:c r="L1" s="4"/>
      <x:c r="M1" s="4"/>
    </x:row>
    <x:row r="2">
      <x:c r="A2" s="7" t="str">
        <x:v>Canonical tracker for goal 019f05ac-cfd2-7423-96b6-a7fb48dc87a9. Generated 2026-06-26 from local Flutter code and POKROV canon. Update this workbook in-place during test/fix/retest loops.</x:v>
      </x:c>
      <x:c r="B2" s="7"/>
      <x:c r="C2" s="7"/>
      <x:c r="D2" s="7"/>
      <x:c r="E2" s="7"/>
      <x:c r="F2" s="7"/>
      <x:c r="G2" s="7"/>
      <x:c r="H2" s="7"/>
      <x:c r="I2" s="7"/>
      <x:c r="J2" s="7"/>
      <x:c r="K2" s="7"/>
      <x:c r="L2" s="7"/>
      <x:c r="M2" s="7"/>
    </x:row>
    <x:row r="4">
      <x:c r="A4" s="12" t="str">
        <x:v>Story ID</x:v>
      </x:c>
      <x:c r="B4" s="13" t="str">
        <x:v>Surface</x:v>
      </x:c>
      <x:c r="C4" s="13" t="str">
        <x:v>Feature</x:v>
      </x:c>
      <x:c r="D4" s="13" t="str">
        <x:v>User Story</x:v>
      </x:c>
      <x:c r="E4" s="13" t="str">
        <x:v>Expected Behavior</x:v>
      </x:c>
      <x:c r="F4" s="13" t="str">
        <x:v>Source Code</x:v>
      </x:c>
      <x:c r="G4" s="13" t="str">
        <x:v>Existing Coverage</x:v>
      </x:c>
      <x:c r="H4" s="13" t="str">
        <x:v>Current Status</x:v>
      </x:c>
      <x:c r="I4" s="13" t="str">
        <x:v>Test Status</x:v>
      </x:c>
      <x:c r="J4" s="13" t="str">
        <x:v>Issue IDs</x:v>
      </x:c>
      <x:c r="K4" s="13" t="str">
        <x:v>Fix Status</x:v>
      </x:c>
      <x:c r="L4" s="13" t="str">
        <x:v>Retest Status</x:v>
      </x:c>
      <x:c r="M4" s="14" t="str">
        <x:v>Notes</x:v>
      </x:c>
    </x:row>
    <x:row r="5" ht="86" customHeight="1">
      <x:c r="A5" s="17" t="str">
        <x:v>US-001</x:v>
      </x:c>
      <x:c r="B5" s="17" t="str">
        <x:v>Onboarding</x:v>
      </x:c>
      <x:c r="C5" s="17" t="str">
        <x:v>First-launch choice</x:v>
      </x:c>
      <x:c r="D5" s="17" t="str">
        <x:v>As a new or returning user, I want the first screen to let me choose whether I am new or already have access.</x:v>
      </x:c>
      <x:c r="E5" s="17" t="str">
        <x:v>The first-launch overlay shows POKROV VPN, offers only 'Я новый пользователь' and 'У меня уже есть доступ', explains the 5-day trial for new users, and blocks the main shell until a choice is completed or a restore succeeds.</x:v>
      </x:c>
      <x:c r="F5" s="17" t="str">
        <x:v>packages/app_shell/lib/src/onboarding/onboarding_flow.dart; packages/app_shell/lib/src/shell/seed_shell.dart</x:v>
      </x:c>
      <x:c r="G5" s="17" t="str">
        <x:v>pokrov_seed_app_test.dart: first-launch choice/restore; ui_copy_contract_test.dart</x:v>
      </x:c>
      <x:c r="H5" s="20" t="str">
        <x:v>Retest passed</x:v>
      </x:c>
      <x:c r="I5" s="20" t="str">
        <x:v>Passed</x:v>
      </x:c>
      <x:c r="J5" s="20" t="str"/>
      <x:c r="K5" s="20" t="str">
        <x:v>Not needed</x:v>
      </x:c>
      <x:c r="L5" s="20" t="str">
        <x:v>Retest passed</x:v>
      </x:c>
      <x:c r="M5" s="17" t="str"/>
    </x:row>
    <x:row r="6" ht="86" customHeight="1">
      <x:c r="A6" s="18" t="str">
        <x:v>US-002</x:v>
      </x:c>
      <x:c r="B6" s="18" t="str">
        <x:v>Onboarding</x:v>
      </x:c>
      <x:c r="C6" s="18" t="str">
        <x:v>New-user trial path</x:v>
      </x:c>
      <x:c r="D6" s="18" t="str">
        <x:v>As a new user, I want tapping 'Я новый пользователь' to open the app immediately and begin the app-first trial path.</x:v>
      </x:c>
      <x:c r="E6" s="18" t="str">
        <x:v>The choice persists locally, the overlay closes, and the first connect attempt resolves a managed profile through start-trial/app-session bootstrap before staging runtime config.</x:v>
      </x:c>
      <x:c r="F6" s="18" t="str">
        <x:v>packages/app_shell/lib/src/shell/seed_shell.dart; packages/app_shell/lib/app_first_runtime_bootstrap.dart</x:v>
      </x:c>
      <x:c r="G6" s="18" t="str">
        <x:v>pokrov_seed_app_test.dart: first-launch persistence; app_first_runtime_bootstrap_test.dart: start trial and managed profile</x:v>
      </x:c>
      <x:c r="H6" s="21" t="str">
        <x:v>Retest passed</x:v>
      </x:c>
      <x:c r="I6" s="21" t="str">
        <x:v>Passed</x:v>
      </x:c>
      <x:c r="J6" s="21" t="str"/>
      <x:c r="K6" s="21" t="str">
        <x:v>Not needed</x:v>
      </x:c>
      <x:c r="L6" s="21" t="str">
        <x:v>Retest passed</x:v>
      </x:c>
      <x:c r="M6" s="18" t="str"/>
    </x:row>
    <x:row r="7" ht="86" customHeight="1">
      <x:c r="A7" s="18" t="str">
        <x:v>US-003</x:v>
      </x:c>
      <x:c r="B7" s="18" t="str">
        <x:v>Onboarding</x:v>
      </x:c>
      <x:c r="C7" s="18" t="str">
        <x:v>Returning-user restore</x:v>
      </x:c>
      <x:c r="D7" s="18" t="str">
        <x:v>As a returning user, I want to enter a one-time access code so the app can restore my entitlement.</x:v>
      </x:c>
      <x:c r="E7" s="18" t="str">
        <x:v>The restore screen accepts a non-empty activation code, calls the app-first redeem endpoint when available, updates access state on success, and returns to the app shell.</x:v>
      </x:c>
      <x:c r="F7" s="18" t="str">
        <x:v>packages/app_shell/lib/src/onboarding/onboarding_flow.dart; packages/app_shell/lib/src/shell/seed_shell.dart; packages/app_shell/lib/app_first_runtime_bootstrap.dart</x:v>
      </x:c>
      <x:c r="G7" s="18" t="str">
        <x:v>pokrov_seed_app_test.dart: restore flow; app_first_runtime_bootstrap_test.dart: redeem endpoint</x:v>
      </x:c>
      <x:c r="H7" s="21" t="str">
        <x:v>Retest passed</x:v>
      </x:c>
      <x:c r="I7" s="21" t="str">
        <x:v>Passed</x:v>
      </x:c>
      <x:c r="J7" s="21" t="str"/>
      <x:c r="K7" s="21" t="str">
        <x:v>Not needed</x:v>
      </x:c>
      <x:c r="L7" s="21" t="str">
        <x:v>Retest passed</x:v>
      </x:c>
      <x:c r="M7" s="18" t="str"/>
    </x:row>
    <x:row r="8" ht="86" customHeight="1">
      <x:c r="A8" s="18" t="str">
        <x:v>US-004</x:v>
      </x:c>
      <x:c r="B8" s="18" t="str">
        <x:v>Onboarding</x:v>
      </x:c>
      <x:c r="C8" s="18" t="str">
        <x:v>Raw subscription link rejection</x:v>
      </x:c>
      <x:c r="D8" s="18" t="str">
        <x:v>As a returning user, I should not be able to paste a raw proxy or subscription link where an account restore code is required.</x:v>
      </x:c>
      <x:c r="E8" s="18" t="str">
        <x:v>VLESS/VMess/Trojan/SS/WireGuard-style schemes, connect.pokrov.space subscription URLs, and config/subscription paths are rejected with a clear message that an activation code is needed.</x:v>
      </x:c>
      <x:c r="F8" s="18" t="str">
        <x:v>packages/app_shell/lib/src/shell/seed_shell.dart</x:v>
      </x:c>
      <x:c r="G8" s="18" t="str">
        <x:v>pokrov_seed_app_test.dart: restore rejects raw links</x:v>
      </x:c>
      <x:c r="H8" s="21" t="str">
        <x:v>Retest passed</x:v>
      </x:c>
      <x:c r="I8" s="21" t="str">
        <x:v>Passed</x:v>
      </x:c>
      <x:c r="J8" s="21" t="str"/>
      <x:c r="K8" s="21" t="str">
        <x:v>Not needed</x:v>
      </x:c>
      <x:c r="L8" s="21" t="str">
        <x:v>Retest passed</x:v>
      </x:c>
      <x:c r="M8" s="18" t="str"/>
    </x:row>
    <x:row r="9" ht="86" customHeight="1">
      <x:c r="A9" s="18" t="str">
        <x:v>US-005</x:v>
      </x:c>
      <x:c r="B9" s="18" t="str">
        <x:v>Onboarding</x:v>
      </x:c>
      <x:c r="C9" s="18" t="str">
        <x:v>Restore helper handoffs</x:v>
      </x:c>
      <x:c r="D9" s="18" t="str">
        <x:v>As a returning user who needs a code, I want safe shortcuts to Telegram or the cabinet from the restore screen.</x:v>
      </x:c>
      <x:c r="E9" s="18" t="str">
        <x:v>Telegram opens through a safe tg://resolve or t.me fallback, cabinet opens through a cabinet handoff when possible, and failed launches show a non-fatal snackbar.</x:v>
      </x:c>
      <x:c r="F9" s="18" t="str">
        <x:v>packages/app_shell/lib/src/onboarding/onboarding_flow.dart; packages/app_shell/lib/src/shell/seed_shell.dart</x:v>
      </x:c>
      <x:c r="G9" s="18" t="str">
        <x:v>pokrov_seed_app_test.dart: first-launch helper actions; safe handoff tests</x:v>
      </x:c>
      <x:c r="H9" s="21" t="str">
        <x:v>Retest passed</x:v>
      </x:c>
      <x:c r="I9" s="21" t="str">
        <x:v>Passed</x:v>
      </x:c>
      <x:c r="J9" s="21" t="str"/>
      <x:c r="K9" s="21" t="str">
        <x:v>Not needed</x:v>
      </x:c>
      <x:c r="L9" s="21" t="str">
        <x:v>Retest passed</x:v>
      </x:c>
      <x:c r="M9" s="18" t="str"/>
    </x:row>
    <x:row r="10" ht="86" customHeight="1">
      <x:c r="A10" s="18" t="str">
        <x:v>US-006</x:v>
      </x:c>
      <x:c r="B10" s="18" t="str">
        <x:v>Navigation</x:v>
      </x:c>
      <x:c r="C10" s="18" t="str">
        <x:v>Mobile and desktop shell</x:v>
      </x:c>
      <x:c r="D10" s="18" t="str">
        <x:v>As a user, I want stable navigation across Protection, Locations, Rules, and Profile on both mobile and desktop layouts.</x:v>
      </x:c>
      <x:c r="E10" s="18" t="str">
        <x:v>Android/iOS use bottom navigation, Windows/macOS use the desktop shell, tab state is stable, and desktop keyboard shortcuts Ctrl+1 through Ctrl+4 select the four sections only after first launch is complete.</x:v>
      </x:c>
      <x:c r="F10" s="18" t="str">
        <x:v>packages/app_shell/lib/src/shell/seed_shell.dart</x:v>
      </x:c>
      <x:c r="G10" s="18" t="str">
        <x:v>pokrov_seed_app_test.dart: responsive mobile/desktop shell; desktop shortcuts</x:v>
      </x:c>
      <x:c r="H10" s="21" t="str">
        <x:v>Retest passed</x:v>
      </x:c>
      <x:c r="I10" s="21" t="str">
        <x:v>Passed</x:v>
      </x:c>
      <x:c r="J10" s="21" t="str"/>
      <x:c r="K10" s="21" t="str">
        <x:v>Not needed</x:v>
      </x:c>
      <x:c r="L10" s="21" t="str">
        <x:v>Retest passed</x:v>
      </x:c>
      <x:c r="M10" s="18" t="str"/>
    </x:row>
    <x:row r="11" ht="86" customHeight="1">
      <x:c r="A11" s="18" t="str">
        <x:v>US-007</x:v>
      </x:c>
      <x:c r="B11" s="18" t="str">
        <x:v>Navigation</x:v>
      </x:c>
      <x:c r="C11" s="18" t="str">
        <x:v>Theme mode</x:v>
      </x:c>
      <x:c r="D11" s="18" t="str">
        <x:v>As a user, I want to choose system, light, or dark appearance from Profile.</x:v>
      </x:c>
      <x:c r="E11" s="18" t="str">
        <x:v>The Profile theme sheet exposes System, Light, and Dark options, applies the selected theme, and keeps dark mode available because it is a mandatory product requirement.</x:v>
      </x:c>
      <x:c r="F11" s="18" t="str">
        <x:v>packages/app_shell/lib/src/profile/profile_surface.dart; packages/app_shell/lib/src/profile/profile_sheets.dart</x:v>
      </x:c>
      <x:c r="G11" s="18" t="str">
        <x:v>pokrov_seed_app_test.dart: profile theme sheet; design_system_contract_test.dart</x:v>
      </x:c>
      <x:c r="H11" s="21" t="str">
        <x:v>Retest passed</x:v>
      </x:c>
      <x:c r="I11" s="21" t="str">
        <x:v>Passed</x:v>
      </x:c>
      <x:c r="J11" s="21" t="str"/>
      <x:c r="K11" s="21" t="str">
        <x:v>Not needed</x:v>
      </x:c>
      <x:c r="L11" s="21" t="str">
        <x:v>Retest passed</x:v>
      </x:c>
      <x:c r="M11" s="18" t="str"/>
    </x:row>
    <x:row r="12" ht="86" customHeight="1">
      <x:c r="A12" s="18" t="str">
        <x:v>US-008</x:v>
      </x:c>
      <x:c r="B12" s="18" t="str">
        <x:v>Home</x:v>
      </x:c>
      <x:c r="C12" s="18" t="str">
        <x:v>Primary protection action</x:v>
      </x:c>
      <x:c r="D12" s="18" t="str">
        <x:v>As a user, I want one clear primary action to enable or disable POKROV VPN.</x:v>
      </x:c>
      <x:c r="E12" s="18" t="str">
        <x:v>Home shows a single primary connect control with stateful labels: 'Включить VPN', 'Подключается...', 'Отключить', or 'Недоступно' based on runtime state.</x:v>
      </x:c>
      <x:c r="F12" s="18" t="str">
        <x:v>packages/app_shell/lib/src/home/home_surface.dart; packages/app_shell/lib/src/shell/seed_shell.dart</x:v>
      </x:c>
      <x:c r="G12" s="18" t="str">
        <x:v>pokrov_seed_app_test.dart: home status and connect action; design_system_contract_test.dart</x:v>
      </x:c>
      <x:c r="H12" s="21" t="str">
        <x:v>Retest passed</x:v>
      </x:c>
      <x:c r="I12" s="21" t="str">
        <x:v>Passed</x:v>
      </x:c>
      <x:c r="J12" s="21" t="str"/>
      <x:c r="K12" s="21" t="str">
        <x:v>Not needed</x:v>
      </x:c>
      <x:c r="L12" s="21" t="str">
        <x:v>Retest passed</x:v>
      </x:c>
      <x:c r="M12" s="18" t="str"/>
    </x:row>
    <x:row r="13" ht="86" customHeight="1">
      <x:c r="A13" s="18" t="str">
        <x:v>US-009</x:v>
      </x:c>
      <x:c r="B13" s="18" t="str">
        <x:v>Runtime</x:v>
      </x:c>
      <x:c r="C13" s="18" t="str">
        <x:v>Connect flow</x:v>
      </x:c>
      <x:c r="D13" s="18" t="str">
        <x:v>As a user, I want the app to prepare the runtime, fetch my managed profile, and connect without exposing technical steps.</x:v>
      </x:c>
      <x:c r="E13" s="18" t="str">
        <x:v>Connect initializes artifacts when needed, resolves app-first managed profile with route mode and selected apps, stages config, starts runtime, settles transitional states, then shows either 'POKROV включен.' or a clear attention state.</x:v>
      </x:c>
      <x:c r="F13" s="18" t="str">
        <x:v>packages/app_shell/lib/src/shell/seed_shell.dart; packages/runtime_engine/lib/runtime_engine.dart; packages/app_shell/lib/app_first_runtime_bootstrap.dart</x:v>
      </x:c>
      <x:c r="G13" s="18" t="str">
        <x:v>pokrov_seed_app_test.dart: connect flow; runtime_engine tests; app_first_runtime_bootstrap_test.dart</x:v>
      </x:c>
      <x:c r="H13" s="21" t="str">
        <x:v>Retest passed</x:v>
      </x:c>
      <x:c r="I13" s="21" t="str">
        <x:v>Passed</x:v>
      </x:c>
      <x:c r="J13" s="21" t="str"/>
      <x:c r="K13" s="21" t="str">
        <x:v>Not needed</x:v>
      </x:c>
      <x:c r="L13" s="21" t="str">
        <x:v>Retest passed</x:v>
      </x:c>
      <x:c r="M13" s="18" t="str"/>
    </x:row>
    <x:row r="14" ht="86" customHeight="1">
      <x:c r="A14" s="18" t="str">
        <x:v>US-010</x:v>
      </x:c>
      <x:c r="B14" s="18" t="str">
        <x:v>Runtime</x:v>
      </x:c>
      <x:c r="C14" s="18" t="str">
        <x:v>Disconnect flow</x:v>
      </x:c>
      <x:c r="D14" s="18" t="str">
        <x:v>As a connected user, I want to turn protection off cleanly.</x:v>
      </x:c>
      <x:c r="E14" s="18" t="str">
        <x:v>When runtime is running, the primary action calls disconnect, polls until the host leaves running state or timeout, and reflects the resulting runtime message without pretending traffic remains protected.</x:v>
      </x:c>
      <x:c r="F14" s="18" t="str">
        <x:v>packages/app_shell/lib/src/shell/seed_shell.dart; packages/runtime_engine/lib/runtime_engine.dart</x:v>
      </x:c>
      <x:c r="G14" s="18" t="str">
        <x:v>runtime_engine tests; pokrov_seed_app_test.dart: connect/disconnect</x:v>
      </x:c>
      <x:c r="H14" s="21" t="str">
        <x:v>Retest passed</x:v>
      </x:c>
      <x:c r="I14" s="21" t="str">
        <x:v>Passed</x:v>
      </x:c>
      <x:c r="J14" s="21" t="str"/>
      <x:c r="K14" s="21" t="str">
        <x:v>Not needed</x:v>
      </x:c>
      <x:c r="L14" s="21" t="str">
        <x:v>Retest passed</x:v>
      </x:c>
      <x:c r="M14" s="18" t="str"/>
    </x:row>
    <x:row r="15" ht="86" customHeight="1">
      <x:c r="A15" s="18" t="str">
        <x:v>US-011</x:v>
      </x:c>
      <x:c r="B15" s="18" t="str">
        <x:v>Runtime</x:v>
      </x:c>
      <x:c r="C15" s="18" t="str">
        <x:v>Runtime error handling</x:v>
      </x:c>
      <x:c r="D15" s="18" t="str">
        <x:v>As a user, I need connection failures to be understandable and recoverable.</x:v>
      </x:c>
      <x:c r="E15" s="18" t="str">
        <x:v>Bootstrap, platform, timeout, and generic runtime failures show sanitized Russian messages, update the Home recovery banner/headline, and offer support instead of crashing.</x:v>
      </x:c>
      <x:c r="F15" s="18" t="str">
        <x:v>packages/app_shell/lib/src/shell/seed_shell.dart; packages/app_shell/lib/src/home/home_surface.dart</x:v>
      </x:c>
      <x:c r="G15" s="18" t="str">
        <x:v>pokrov_seed_app_test.dart: runtime error and recovery states; runtime_engine tests</x:v>
      </x:c>
      <x:c r="H15" s="21" t="str">
        <x:v>Retest passed</x:v>
      </x:c>
      <x:c r="I15" s="21" t="str">
        <x:v>Passed</x:v>
      </x:c>
      <x:c r="J15" s="21" t="str"/>
      <x:c r="K15" s="21" t="str">
        <x:v>Not needed</x:v>
      </x:c>
      <x:c r="L15" s="21" t="str">
        <x:v>Retest passed</x:v>
      </x:c>
      <x:c r="M15" s="18" t="str"/>
    </x:row>
    <x:row r="16" ht="86" customHeight="1">
      <x:c r="A16" s="18" t="str">
        <x:v>US-012</x:v>
      </x:c>
      <x:c r="B16" s="18" t="str">
        <x:v>Runtime</x:v>
      </x:c>
      <x:c r="C16" s="18" t="str">
        <x:v>Host diagnostics redaction</x:v>
      </x:c>
      <x:c r="D16" s="18" t="str">
        <x:v>As a support-bound user, I want diagnostics to help operators without leaking raw technical secrets.</x:v>
      </x:c>
      <x:c r="E16" s="18" t="str">
        <x:v>Runtime and host diagnostics are summarized into safe fields; raw configs, private keys, material URLs, and sensitive WARP details are not shown in normal UI or sent without redaction.</x:v>
      </x:c>
      <x:c r="F16" s="18" t="str">
        <x:v>packages/runtime_engine/lib/runtime_engine.dart; packages/app_shell/lib/src/support/support_chat.dart; packages/app_shell/lib/src/warp/pokrov_warp_lifecycle.dart</x:v>
      </x:c>
      <x:c r="G16" s="18" t="str">
        <x:v>pokrov_seed_app_test.dart: diagnostics; warp_lifecycle_contract_test.dart; assistant_contract_test.dart</x:v>
      </x:c>
      <x:c r="H16" s="21" t="str">
        <x:v>Retest passed</x:v>
      </x:c>
      <x:c r="I16" s="21" t="str">
        <x:v>Passed</x:v>
      </x:c>
      <x:c r="J16" s="21" t="str"/>
      <x:c r="K16" s="21" t="str">
        <x:v>Not needed</x:v>
      </x:c>
      <x:c r="L16" s="21" t="str">
        <x:v>Retest passed</x:v>
      </x:c>
      <x:c r="M16" s="18" t="str"/>
    </x:row>
    <x:row r="17" ht="86" customHeight="1">
      <x:c r="A17" s="18" t="str">
        <x:v>US-013</x:v>
      </x:c>
      <x:c r="B17" s="18" t="str">
        <x:v>Home</x:v>
      </x:c>
      <x:c r="C17" s="18" t="str">
        <x:v>Status details</x:v>
      </x:c>
      <x:c r="D17" s="18" t="str">
        <x:v>As a user, I want to inspect current protection status without seeing implementation noise.</x:v>
      </x:c>
      <x:c r="E17" s="18" t="str">
        <x:v>Home status and detail surfaces summarize connected/unprotected/degraded/missing-artifact states, selected route, location shortcut, and attention hints in consumer language.</x:v>
      </x:c>
      <x:c r="F17" s="18" t="str">
        <x:v>packages/app_shell/lib/src/home/home_surface.dart</x:v>
      </x:c>
      <x:c r="G17" s="18" t="str">
        <x:v>pokrov_seed_app_test.dart: home status details</x:v>
      </x:c>
      <x:c r="H17" s="21" t="str">
        <x:v>Retest passed</x:v>
      </x:c>
      <x:c r="I17" s="21" t="str">
        <x:v>Passed</x:v>
      </x:c>
      <x:c r="J17" s="21" t="str"/>
      <x:c r="K17" s="21" t="str">
        <x:v>Not needed</x:v>
      </x:c>
      <x:c r="L17" s="21" t="str">
        <x:v>Retest passed</x:v>
      </x:c>
      <x:c r="M17" s="18" t="str"/>
    </x:row>
    <x:row r="18" ht="86" customHeight="1">
      <x:c r="A18" s="18" t="str">
        <x:v>US-014</x:v>
      </x:c>
      <x:c r="B18" s="18" t="str">
        <x:v>Home</x:v>
      </x:c>
      <x:c r="C18" s="18" t="str">
        <x:v>Mode shortcuts</x:v>
      </x:c>
      <x:c r="D18" s="18" t="str">
        <x:v>As a user, I want Home chips to take me directly to location and routing decisions.</x:v>
      </x:c>
      <x:c r="E18" s="18" t="str">
        <x:v>Home mode chips display current automatic location and route mode, and tapping them selects Locations or Rules without changing connection state.</x:v>
      </x:c>
      <x:c r="F18" s="18" t="str">
        <x:v>packages/app_shell/lib/src/home/home_surface.dart; packages/app_shell/lib/src/shell/seed_shell.dart</x:v>
      </x:c>
      <x:c r="G18" s="18" t="str">
        <x:v>pokrov_seed_app_test.dart: home micro controls</x:v>
      </x:c>
      <x:c r="H18" s="21" t="str">
        <x:v>Retest passed</x:v>
      </x:c>
      <x:c r="I18" s="21" t="str">
        <x:v>Passed</x:v>
      </x:c>
      <x:c r="J18" s="21" t="str"/>
      <x:c r="K18" s="21" t="str">
        <x:v>Not needed</x:v>
      </x:c>
      <x:c r="L18" s="21" t="str">
        <x:v>Retest passed</x:v>
      </x:c>
      <x:c r="M18" s="18" t="str"/>
    </x:row>
    <x:row r="19" ht="86" customHeight="1">
      <x:c r="A19" s="18" t="str">
        <x:v>US-015</x:v>
      </x:c>
      <x:c r="B19" s="18" t="str">
        <x:v>Updates</x:v>
      </x:c>
      <x:c r="C19" s="18" t="str">
        <x:v>Startup update prompt</x:v>
      </x:c>
      <x:c r="D19" s="18" t="str">
        <x:v>As a user, I want the app to tell me when a newer beta build is available.</x:v>
      </x:c>
      <x:c r="E19" s="18" t="str">
        <x:v>At launch or resume, the app fetches client app metadata, shows an explicit update prompt when a newer available build exists, and opens the public download URL only after user action. It does not claim silent auto-update.</x:v>
      </x:c>
      <x:c r="F19" s="18" t="str">
        <x:v>packages/app_shell/lib/src/shell/seed_shell.dart; packages/app_shell/lib/app_first_runtime_bootstrap.dart</x:v>
      </x:c>
      <x:c r="G19" s="18" t="str">
        <x:v>pokrov_seed_app_test.dart: startup update check; app_first_runtime_bootstrap_test.dart: client apps endpoint</x:v>
      </x:c>
      <x:c r="H19" s="21" t="str">
        <x:v>Retest passed</x:v>
      </x:c>
      <x:c r="I19" s="21" t="str">
        <x:v>Passed</x:v>
      </x:c>
      <x:c r="J19" s="21" t="str"/>
      <x:c r="K19" s="21" t="str">
        <x:v>Not needed</x:v>
      </x:c>
      <x:c r="L19" s="21" t="str">
        <x:v>Retest passed</x:v>
      </x:c>
      <x:c r="M19" s="18" t="str"/>
    </x:row>
    <x:row r="20" ht="86" customHeight="1">
      <x:c r="A20" s="18" t="str">
        <x:v>US-016</x:v>
      </x:c>
      <x:c r="B20" s="18" t="str">
        <x:v>Home</x:v>
      </x:c>
      <x:c r="C20" s="18" t="str">
        <x:v>Safe backend promo slot</x:v>
      </x:c>
      <x:c r="D20" s="18" t="str">
        <x:v>As an operator, I want backend promo/banner JSON to appear only when it is safe and useful.</x:v>
      </x:c>
      <x:c r="E20" s="18" t="str">
        <x:v>Home renders at most the supported safe promo CTA shape, blocks arbitrary HTML/JS and unsupported hosts, and keeps unsafe or malformed promo data invisible.</x:v>
      </x:c>
      <x:c r="F20" s="18" t="str">
        <x:v>packages/app_shell/lib/src/home/home_surface.dart</x:v>
      </x:c>
      <x:c r="G20" s="18" t="str">
        <x:v>pokrov_seed_app_test.dart: safe and unsafe admin promotion</x:v>
      </x:c>
      <x:c r="H20" s="21" t="str">
        <x:v>Retest passed</x:v>
      </x:c>
      <x:c r="I20" s="21" t="str">
        <x:v>Passed</x:v>
      </x:c>
      <x:c r="J20" s="21" t="str"/>
      <x:c r="K20" s="21" t="str">
        <x:v>Not needed</x:v>
      </x:c>
      <x:c r="L20" s="21" t="str">
        <x:v>Retest passed</x:v>
      </x:c>
      <x:c r="M20" s="18" t="str"/>
    </x:row>
    <x:row r="21" ht="86" customHeight="1">
      <x:c r="A21" s="18" t="str">
        <x:v>US-017</x:v>
      </x:c>
      <x:c r="B21" s="18" t="str">
        <x:v>WARP</x:v>
      </x:c>
      <x:c r="C21" s="18" t="str">
        <x:v>WARP visibility</x:v>
      </x:c>
      <x:c r="D21" s="18" t="str">
        <x:v>As a user, I want to understand WARP as optional additional protection, not a second VPN product.</x:v>
      </x:c>
      <x:c r="E21" s="18" t="str">
        <x:v>Home shows WARP only as additional protection, uses lifecycle-aware copy, and keeps beta/debug status out of marketing-like surfaces.</x:v>
      </x:c>
      <x:c r="F21" s="18" t="str">
        <x:v>packages/app_shell/lib/src/home/home_surface.dart; packages/app_shell/lib/src/warp/warp_sheet.dart; packages/app_shell/lib/src/warp/pokrov_warp_lifecycle.dart</x:v>
      </x:c>
      <x:c r="G21" s="18" t="str">
        <x:v>pokrov_seed_app_test.dart: WARP sheet/tile; warp_lifecycle_contract_test.dart</x:v>
      </x:c>
      <x:c r="H21" s="21" t="str">
        <x:v>Retest passed</x:v>
      </x:c>
      <x:c r="I21" s="21" t="str">
        <x:v>Passed</x:v>
      </x:c>
      <x:c r="J21" s="21" t="str"/>
      <x:c r="K21" s="21" t="str">
        <x:v>Not needed</x:v>
      </x:c>
      <x:c r="L21" s="21" t="str">
        <x:v>Retest passed</x:v>
      </x:c>
      <x:c r="M21" s="18" t="str"/>
    </x:row>
    <x:row r="22" ht="86" customHeight="1">
      <x:c r="A22" s="18" t="str">
        <x:v>US-018</x:v>
      </x:c>
      <x:c r="B22" s="18" t="str">
        <x:v>WARP</x:v>
      </x:c>
      <x:c r="C22" s="18" t="str">
        <x:v>WARP consent toggle</x:v>
      </x:c>
      <x:c r="D22" s="18" t="str">
        <x:v>As a user, I want to enable or disable WARP explicitly.</x:v>
      </x:c>
      <x:c r="E22" s="18" t="str">
        <x:v>The WARP sheet uses a clear consent switch, calls the backend consent/revoke endpoint when available, falls back to client-local consent if needed, marks the managed profile dirty, and applies runtime WARP in the background.</x:v>
      </x:c>
      <x:c r="F22" s="18" t="str">
        <x:v>packages/app_shell/lib/src/warp/warp_sheet.dart; packages/app_shell/lib/src/shell/seed_shell.dart; packages/app_shell/lib/app_first_runtime_bootstrap.dart</x:v>
      </x:c>
      <x:c r="G22" s="18" t="str">
        <x:v>pokrov_seed_app_test.dart: WARP toggle; app_first_runtime_bootstrap_test.dart: WARP lifecycle</x:v>
      </x:c>
      <x:c r="H22" s="21" t="str">
        <x:v>Retest passed</x:v>
      </x:c>
      <x:c r="I22" s="21" t="str">
        <x:v>Passed</x:v>
      </x:c>
      <x:c r="J22" s="21" t="str"/>
      <x:c r="K22" s="21" t="str">
        <x:v>Not needed</x:v>
      </x:c>
      <x:c r="L22" s="21" t="str">
        <x:v>Retest passed</x:v>
      </x:c>
      <x:c r="M22" s="18" t="str"/>
    </x:row>
    <x:row r="23" ht="86" customHeight="1">
      <x:c r="A23" s="18" t="str">
        <x:v>US-019</x:v>
      </x:c>
      <x:c r="B23" s="18" t="str">
        <x:v>WARP</x:v>
      </x:c>
      <x:c r="C23" s="18" t="str">
        <x:v>WARP runtime telemetry</x:v>
      </x:c>
      <x:c r="D23" s="18" t="str">
        <x:v>As an operator, I want WARP apply and fallback events recorded without blocking the user.</x:v>
      </x:c>
      <x:c r="E23" s="18" t="str">
        <x:v>Runtime apply and fallback events are reported with sanitized state, reason, and safe metadata; telemetry failure never blocks connect, disconnect, or consent toggling.</x:v>
      </x:c>
      <x:c r="F23" s="18" t="str">
        <x:v>packages/app_shell/lib/src/shell/seed_shell.dart; packages/app_shell/lib/app_first_runtime_bootstrap.dart</x:v>
      </x:c>
      <x:c r="G23" s="18" t="str">
        <x:v>app_first_runtime_bootstrap_test.dart: WARP event sanitization; warp_lifecycle_contract_test.dart</x:v>
      </x:c>
      <x:c r="H23" s="21" t="str">
        <x:v>Retest passed</x:v>
      </x:c>
      <x:c r="I23" s="21" t="str">
        <x:v>Passed</x:v>
      </x:c>
      <x:c r="J23" s="21" t="str"/>
      <x:c r="K23" s="21" t="str">
        <x:v>Not needed</x:v>
      </x:c>
      <x:c r="L23" s="21" t="str">
        <x:v>Retest passed</x:v>
      </x:c>
      <x:c r="M23" s="18" t="str"/>
    </x:row>
    <x:row r="24" ht="86" customHeight="1">
      <x:c r="A24" s="18" t="str">
        <x:v>US-020</x:v>
      </x:c>
      <x:c r="B24" s="18" t="str">
        <x:v>Rewards</x:v>
      </x:c>
      <x:c r="C24" s="18" t="str">
        <x:v>Telegram bonus on Home</x:v>
      </x:c>
      <x:c r="D24" s="18" t="str">
        <x:v>As a user, I want to claim the +10 day Telegram reward from the app.</x:v>
      </x:c>
      <x:c r="E24" s="18" t="str">
        <x:v>The Home bonus tile links Telegram when needed, checks channel membership, enables claim only when eligible, marks the profile dirty after success, reloads bonus summary, and shows the awarded days.</x:v>
      </x:c>
      <x:c r="F24" s="18" t="str">
        <x:v>packages/app_shell/lib/src/home/home_surface.dart; packages/app_shell/lib/src/shell/seed_shell.dart; packages/app_shell/lib/app_first_runtime_bootstrap.dart</x:v>
      </x:c>
      <x:c r="G24" s="18" t="str">
        <x:v>pokrov_seed_app_test.dart: Telegram bonus; app_first_runtime_bootstrap_test.dart: channel bonus</x:v>
      </x:c>
      <x:c r="H24" s="21" t="str">
        <x:v>Retest passed</x:v>
      </x:c>
      <x:c r="I24" s="21" t="str">
        <x:v>Passed</x:v>
      </x:c>
      <x:c r="J24" s="21" t="str"/>
      <x:c r="K24" s="21" t="str">
        <x:v>Not needed</x:v>
      </x:c>
      <x:c r="L24" s="21" t="str">
        <x:v>Retest passed</x:v>
      </x:c>
      <x:c r="M24" s="18" t="str"/>
    </x:row>
    <x:row r="25" ht="86" customHeight="1">
      <x:c r="A25" s="18" t="str">
        <x:v>US-021</x:v>
      </x:c>
      <x:c r="B25" s="18" t="str">
        <x:v>Locations</x:v>
      </x:c>
      <x:c r="C25" s="18" t="str">
        <x:v>Locked location list before access</x:v>
      </x:c>
      <x:c r="D25" s="18" t="str">
        <x:v>As a user without staged/provisioned access, I should see that locations unlock after first connection instead of an empty broken list.</x:v>
      </x:c>
      <x:c r="E25" s="18" t="str">
        <x:v>Locations shows the automatic card and a skeleton/locked state explaining that the country list opens after first connection.</x:v>
      </x:c>
      <x:c r="F25" s="18" t="str">
        <x:v>packages/app_shell/lib/src/locations/locations_surface.dart</x:v>
      </x:c>
      <x:c r="G25" s="18" t="str">
        <x:v>pokrov_seed_app_test.dart: locations skeleton; design_system_contract_test.dart</x:v>
      </x:c>
      <x:c r="H25" s="21" t="str">
        <x:v>Retest passed</x:v>
      </x:c>
      <x:c r="I25" s="21" t="str">
        <x:v>Passed</x:v>
      </x:c>
      <x:c r="J25" s="21" t="str"/>
      <x:c r="K25" s="21" t="str">
        <x:v>Not needed</x:v>
      </x:c>
      <x:c r="L25" s="21" t="str">
        <x:v>Retest passed</x:v>
      </x:c>
      <x:c r="M25" s="18" t="str"/>
    </x:row>
    <x:row r="26" ht="86" customHeight="1">
      <x:c r="A26" s="18" t="str">
        <x:v>US-022</x:v>
      </x:c>
      <x:c r="B26" s="18" t="str">
        <x:v>Locations</x:v>
      </x:c>
      <x:c r="C26" s="18" t="str">
        <x:v>Automatic location</x:v>
      </x:c>
      <x:c r="D26" s="18" t="str">
        <x:v>As a user, I want automatic routing to be the default and easy to understand.</x:v>
      </x:c>
      <x:c r="E26" s="18" t="str">
        <x:v>The automatic card is selected when no preferred node is set, describes POKROV choosing the quick route/pool/mode when provisioned, and opens an info sheet with consumer-level explanation.</x:v>
      </x:c>
      <x:c r="F26" s="18" t="str">
        <x:v>packages/app_shell/lib/src/locations/locations_surface.dart</x:v>
      </x:c>
      <x:c r="G26" s="18" t="str">
        <x:v>pokrov_seed_app_test.dart: locations auto card/help</x:v>
      </x:c>
      <x:c r="H26" s="21" t="str">
        <x:v>Retest passed</x:v>
      </x:c>
      <x:c r="I26" s="21" t="str">
        <x:v>Passed</x:v>
      </x:c>
      <x:c r="J26" s="21" t="str"/>
      <x:c r="K26" s="21" t="str">
        <x:v>Not needed</x:v>
      </x:c>
      <x:c r="L26" s="21" t="str">
        <x:v>Retest passed</x:v>
      </x:c>
      <x:c r="M26" s="18" t="str"/>
    </x:row>
    <x:row r="27" ht="86" customHeight="1">
      <x:c r="A27" s="18" t="str">
        <x:v>US-023</x:v>
      </x:c>
      <x:c r="B27" s="18" t="str">
        <x:v>Locations</x:v>
      </x:c>
      <x:c r="C27" s="18" t="str">
        <x:v>Backend location catalog</x:v>
      </x:c>
      <x:c r="D27" s="18" t="str">
        <x:v>As a user, I want to search and select available premium/free city locations from the backend catalog.</x:v>
      </x:c>
      <x:c r="E27" s="18" t="str">
        <x:v>When a catalog is available, Locations shows country/city rows, quality, premium/free lane, signal bars, search for larger catalogs, and a selected checkmark.</x:v>
      </x:c>
      <x:c r="F27" s="18" t="str">
        <x:v>packages/app_shell/lib/src/locations/locations_surface.dart; packages/app_shell/lib/app_first_runtime_bootstrap.dart</x:v>
      </x:c>
      <x:c r="G27" s="18" t="str">
        <x:v>pokrov_seed_app_test.dart: native locations catalog; app_first_runtime_bootstrap_test.dart: locations API</x:v>
      </x:c>
      <x:c r="H27" s="21" t="str">
        <x:v>Retest passed</x:v>
      </x:c>
      <x:c r="I27" s="21" t="str">
        <x:v>Passed</x:v>
      </x:c>
      <x:c r="J27" s="21" t="str"/>
      <x:c r="K27" s="21" t="str">
        <x:v>Not needed</x:v>
      </x:c>
      <x:c r="L27" s="21" t="str">
        <x:v>Retest passed</x:v>
      </x:c>
      <x:c r="M27" s="18" t="str"/>
    </x:row>
    <x:row r="28" ht="86" customHeight="1">
      <x:c r="A28" s="18" t="str">
        <x:v>US-024</x:v>
      </x:c>
      <x:c r="B28" s="18" t="str">
        <x:v>Locations</x:v>
      </x:c>
      <x:c r="C28" s="18" t="str">
        <x:v>Smart-connect shortlist</x:v>
      </x:c>
      <x:c r="D28" s="18" t="str">
        <x:v>As a user, I want useful location options even when the backend catalog has not arrived.</x:v>
      </x:c>
      <x:c r="E28" s="18" t="str">
        <x:v>Locations falls back to smart-connect shortlist rows with quality labels and does not show broken empty placeholders.</x:v>
      </x:c>
      <x:c r="F28" s="18" t="str">
        <x:v>packages/app_shell/lib/src/locations/locations_surface.dart; packages/core_domain/lib/core_domain.dart</x:v>
      </x:c>
      <x:c r="G28" s="18" t="str">
        <x:v>pokrov_seed_app_test.dart: smart-connect locations</x:v>
      </x:c>
      <x:c r="H28" s="21" t="str">
        <x:v>Retest passed</x:v>
      </x:c>
      <x:c r="I28" s="21" t="str">
        <x:v>Passed</x:v>
      </x:c>
      <x:c r="J28" s="21" t="str"/>
      <x:c r="K28" s="21" t="str">
        <x:v>Not needed</x:v>
      </x:c>
      <x:c r="L28" s="21" t="str">
        <x:v>Retest passed</x:v>
      </x:c>
      <x:c r="M28" s="18" t="str"/>
    </x:row>
    <x:row r="29" ht="86" customHeight="1">
      <x:c r="A29" s="18" t="str">
        <x:v>US-025</x:v>
      </x:c>
      <x:c r="B29" s="18" t="str">
        <x:v>Locations</x:v>
      </x:c>
      <x:c r="C29" s="18" t="str">
        <x:v>Preferred node selection</x:v>
      </x:c>
      <x:c r="D29" s="18" t="str">
        <x:v>As a user, I want selecting a city to update my preferred node for future connections.</x:v>
      </x:c>
      <x:c r="E29" s="18" t="str">
        <x:v>Preferred-node changes validate against the smart-connect shortlist when present, post a latency/preference sample through the app session, update local selected state, and mark managed profile dirty for the next connect.</x:v>
      </x:c>
      <x:c r="F29" s="18" t="str">
        <x:v>packages/app_shell/lib/src/shell/seed_shell.dart; packages/app_shell/lib/app_first_runtime_bootstrap.dart</x:v>
      </x:c>
      <x:c r="G29" s="18" t="str">
        <x:v>pokrov_seed_app_test.dart: location selection; app_first_runtime_bootstrap_test.dart: node preference validation</x:v>
      </x:c>
      <x:c r="H29" s="21" t="str">
        <x:v>Retest passed</x:v>
      </x:c>
      <x:c r="I29" s="21" t="str">
        <x:v>Passed</x:v>
      </x:c>
      <x:c r="J29" s="21" t="str"/>
      <x:c r="K29" s="21" t="str">
        <x:v>Not needed</x:v>
      </x:c>
      <x:c r="L29" s="21" t="str">
        <x:v>Retest passed</x:v>
      </x:c>
      <x:c r="M29" s="18" t="str"/>
    </x:row>
    <x:row r="30" ht="86" customHeight="1">
      <x:c r="A30" s="18" t="str">
        <x:v>US-026</x:v>
      </x:c>
      <x:c r="B30" s="18" t="str">
        <x:v>Rules</x:v>
      </x:c>
      <x:c r="C30" s="18" t="str">
        <x:v>Route mode selection</x:v>
      </x:c>
      <x:c r="D30" s="18" t="str">
        <x:v>As a user, I want to choose how broadly POKROV protects traffic.</x:v>
      </x:c>
      <x:c r="E30" s="18" t="str">
        <x:v>Rules exposes the supported route modes for the current platform, defaults to 'Всё, кроме РФ', and marks the managed profile dirty when the user changes mode.</x:v>
      </x:c>
      <x:c r="F30" s="18" t="str">
        <x:v>packages/app_shell/lib/src/rules/rules_surface.dart; packages/app_shell/lib/src/shell/seed_shell.dart; packages/core_domain/lib/core_domain.dart</x:v>
      </x:c>
      <x:c r="G30" s="18" t="str">
        <x:v>pokrov_seed_app_test.dart: route mode controls; app_first_runtime_bootstrap_test.dart: route materialization</x:v>
      </x:c>
      <x:c r="H30" s="21" t="str">
        <x:v>Retest passed</x:v>
      </x:c>
      <x:c r="I30" s="21" t="str">
        <x:v>Passed</x:v>
      </x:c>
      <x:c r="J30" s="21" t="str"/>
      <x:c r="K30" s="21" t="str">
        <x:v>Not needed</x:v>
      </x:c>
      <x:c r="L30" s="21" t="str">
        <x:v>Retest passed</x:v>
      </x:c>
      <x:c r="M30" s="18" t="str"/>
    </x:row>
    <x:row r="31" ht="86" customHeight="1">
      <x:c r="A31" s="18" t="str">
        <x:v>US-027</x:v>
      </x:c>
      <x:c r="B31" s="18" t="str">
        <x:v>Rules</x:v>
      </x:c>
      <x:c r="C31" s="18" t="str">
        <x:v>Route mode help</x:v>
      </x:c>
      <x:c r="D31" s="18" t="str">
        <x:v>As a user, I want an explanation of route modes without needing technical terminology.</x:v>
      </x:c>
      <x:c r="E31" s="18" t="str">
        <x:v>The route-mode help action opens concise consumer copy for all-except-RU, full tunnel, and selected-apps behavior.</x:v>
      </x:c>
      <x:c r="F31" s="18" t="str">
        <x:v>packages/app_shell/lib/src/rules/rules_surface.dart</x:v>
      </x:c>
      <x:c r="G31" s="18" t="str">
        <x:v>pokrov_seed_app_test.dart: route help</x:v>
      </x:c>
      <x:c r="H31" s="21" t="str">
        <x:v>Retest passed</x:v>
      </x:c>
      <x:c r="I31" s="21" t="str">
        <x:v>Passed</x:v>
      </x:c>
      <x:c r="J31" s="21" t="str"/>
      <x:c r="K31" s="21" t="str">
        <x:v>Not needed</x:v>
      </x:c>
      <x:c r="L31" s="21" t="str">
        <x:v>Retest passed</x:v>
      </x:c>
      <x:c r="M31" s="18" t="str"/>
    </x:row>
    <x:row r="32" ht="86" customHeight="1">
      <x:c r="A32" s="18" t="str">
        <x:v>US-028</x:v>
      </x:c>
      <x:c r="B32" s="18" t="str">
        <x:v>Rules</x:v>
      </x:c>
      <x:c r="C32" s="18" t="str">
        <x:v>Direct presets</x:v>
      </x:c>
      <x:c r="D32" s="18" t="str">
        <x:v>As a user, I want important local services to stay direct according to platform policy.</x:v>
      </x:c>
      <x:c r="E32" s="18" t="str">
        <x:v>Rules shows platform-specific direct presets such as RU region/local network, banks, Gosuslugi, marketplaces, messengers, or selected apps based on the host platform profile.</x:v>
      </x:c>
      <x:c r="F32" s="18" t="str">
        <x:v>packages/app_shell/lib/src/rules/rules_surface.dart; packages/app_shell/lib/src/seed/seed_context.dart</x:v>
      </x:c>
      <x:c r="G32" s="18" t="str">
        <x:v>pokrov_seed_app_test.dart: direct presets; app_first_runtime_bootstrap_test.dart: platform rule sets</x:v>
      </x:c>
      <x:c r="H32" s="21" t="str">
        <x:v>Retest passed</x:v>
      </x:c>
      <x:c r="I32" s="21" t="str">
        <x:v>Passed</x:v>
      </x:c>
      <x:c r="J32" s="21" t="str"/>
      <x:c r="K32" s="21" t="str">
        <x:v>Not needed</x:v>
      </x:c>
      <x:c r="L32" s="21" t="str">
        <x:v>Retest passed</x:v>
      </x:c>
      <x:c r="M32" s="18" t="str"/>
    </x:row>
    <x:row r="33" ht="86" customHeight="1">
      <x:c r="A33" s="18" t="str">
        <x:v>US-029</x:v>
      </x:c>
      <x:c r="B33" s="18" t="str">
        <x:v>Rules</x:v>
      </x:c>
      <x:c r="C33" s="18" t="str">
        <x:v>Selected apps availability</x:v>
      </x:c>
      <x:c r="D33" s="18" t="str">
        <x:v>As a user, I want selected-app routing only where the platform can actually support it.</x:v>
      </x:c>
      <x:c r="E33" s="18" t="str">
        <x:v>The selected-apps section is visible and usable on supported/staged platforms, disabled where not supported, and route-mode options reflect platform capability.</x:v>
      </x:c>
      <x:c r="F33" s="18" t="str">
        <x:v>packages/app_shell/lib/src/rules/rules_surface.dart; packages/app_shell/lib/src/seed/seed_context.dart</x:v>
      </x:c>
      <x:c r="G33" s="18" t="str">
        <x:v>pokrov_seed_app_test.dart: selected apps section; app_first_runtime_bootstrap_test.dart</x:v>
      </x:c>
      <x:c r="H33" s="21" t="str">
        <x:v>Retest passed</x:v>
      </x:c>
      <x:c r="I33" s="21" t="str">
        <x:v>Passed</x:v>
      </x:c>
      <x:c r="J33" s="21" t="str"/>
      <x:c r="K33" s="21" t="str">
        <x:v>Not needed</x:v>
      </x:c>
      <x:c r="L33" s="21" t="str">
        <x:v>Retest passed</x:v>
      </x:c>
      <x:c r="M33" s="18" t="str"/>
    </x:row>
    <x:row r="34" ht="86" customHeight="1">
      <x:c r="A34" s="18" t="str">
        <x:v>US-030</x:v>
      </x:c>
      <x:c r="B34" s="18" t="str">
        <x:v>Rules</x:v>
      </x:c>
      <x:c r="C34" s="18" t="str">
        <x:v>Selected apps picker</x:v>
      </x:c>
      <x:c r="D34" s="18" t="str">
        <x:v>As a user, I want to pick apps for selected-app routing without typing package IDs when possible.</x:v>
      </x:c>
      <x:c r="E34" s="18" t="str">
        <x:v>Android uses the native app-list bridge when available, Windows inspects process/exe candidates, both provide suggested apps, and search filters candidates in a picker sheet.</x:v>
      </x:c>
      <x:c r="F34" s="18" t="str">
        <x:v>packages/app_shell/lib/src/rules/rules_surface.dart</x:v>
      </x:c>
      <x:c r="G34" s="18" t="str">
        <x:v>pokrov_seed_app_test.dart: selected apps picker/native candidates</x:v>
      </x:c>
      <x:c r="H34" s="21" t="str">
        <x:v>Retest passed</x:v>
      </x:c>
      <x:c r="I34" s="21" t="str">
        <x:v>Passed</x:v>
      </x:c>
      <x:c r="J34" s="21" t="str"/>
      <x:c r="K34" s="21" t="str">
        <x:v>Not needed</x:v>
      </x:c>
      <x:c r="L34" s="21" t="str">
        <x:v>Retest passed</x:v>
      </x:c>
      <x:c r="M34" s="18" t="str"/>
    </x:row>
    <x:row r="35" ht="86" customHeight="1">
      <x:c r="A35" s="18" t="str">
        <x:v>US-031</x:v>
      </x:c>
      <x:c r="B35" s="18" t="str">
        <x:v>Rules</x:v>
      </x:c>
      <x:c r="C35" s="18" t="str">
        <x:v>Manual selected-app entry</x:v>
      </x:c>
      <x:c r="D35" s="18" t="str">
        <x:v>As a power user, I want a manual fallback for app identifiers.</x:v>
      </x:c>
      <x:c r="E35" s="18" t="str">
        <x:v>Manual mode can be toggled open, accepts non-empty identifiers up to 96 chars matching the allowed character pattern, rejects invalid values with clear inline text, and adds valid values without duplicates.</x:v>
      </x:c>
      <x:c r="F35" s="18" t="str">
        <x:v>packages/app_shell/lib/src/rules/rules_surface.dart</x:v>
      </x:c>
      <x:c r="G35" s="18" t="str">
        <x:v>pokrov_seed_app_test.dart: selected app manual fallback</x:v>
      </x:c>
      <x:c r="H35" s="21" t="str">
        <x:v>Retest passed</x:v>
      </x:c>
      <x:c r="I35" s="21" t="str">
        <x:v>Passed</x:v>
      </x:c>
      <x:c r="J35" s="21" t="str"/>
      <x:c r="K35" s="21" t="str">
        <x:v>Not needed</x:v>
      </x:c>
      <x:c r="L35" s="21" t="str">
        <x:v>Retest passed</x:v>
      </x:c>
      <x:c r="M35" s="18" t="str"/>
    </x:row>
    <x:row r="36" ht="86" customHeight="1">
      <x:c r="A36" s="18" t="str">
        <x:v>US-032</x:v>
      </x:c>
      <x:c r="B36" s="18" t="str">
        <x:v>Rules</x:v>
      </x:c>
      <x:c r="C36" s="18" t="str">
        <x:v>Selected-app display privacy</x:v>
      </x:c>
      <x:c r="D36" s="18" t="str">
        <x:v>As a normal user, I want selected apps displayed by friendly names, not scary raw identifiers.</x:v>
      </x:c>
      <x:c r="E36" s="18" t="str">
        <x:v>Known apps display friendly Russian names, rows can be removed, and raw identifiers are hidden from ordinary rows while remaining available only for support-facing details.</x:v>
      </x:c>
      <x:c r="F36" s="18" t="str">
        <x:v>packages/app_shell/lib/src/rules/rules_surface.dart; packages/core_domain/lib/core_domain.dart</x:v>
      </x:c>
      <x:c r="G36" s="18" t="str">
        <x:v>pokrov_seed_app_test.dart: selected app display</x:v>
      </x:c>
      <x:c r="H36" s="21" t="str">
        <x:v>Retest passed</x:v>
      </x:c>
      <x:c r="I36" s="21" t="str">
        <x:v>Passed</x:v>
      </x:c>
      <x:c r="J36" s="21" t="str"/>
      <x:c r="K36" s="21" t="str">
        <x:v>Not needed</x:v>
      </x:c>
      <x:c r="L36" s="21" t="str">
        <x:v>Retest passed</x:v>
      </x:c>
      <x:c r="M36" s="18" t="str"/>
    </x:row>
    <x:row r="37" ht="86" customHeight="1">
      <x:c r="A37" s="18" t="str">
        <x:v>US-033</x:v>
      </x:c>
      <x:c r="B37" s="18" t="str">
        <x:v>Profile</x:v>
      </x:c>
      <x:c r="C37" s="18" t="str">
        <x:v>Access overview</x:v>
      </x:c>
      <x:c r="D37" s="18" t="str">
        <x:v>As a user, I want Profile to summarize my current access and account state.</x:v>
      </x:c>
      <x:c r="E37" s="18" t="str">
        <x:v>Profile groups plan/access rows at the top, shows active or inactive access, and keeps checkout, details, and status actions discoverable.</x:v>
      </x:c>
      <x:c r="F37" s="18" t="str">
        <x:v>packages/app_shell/lib/src/profile/profile_surface.dart</x:v>
      </x:c>
      <x:c r="G37" s="18" t="str">
        <x:v>pokrov_seed_app_test.dart: profile grouped sections</x:v>
      </x:c>
      <x:c r="H37" s="21" t="str">
        <x:v>Retest passed</x:v>
      </x:c>
      <x:c r="I37" s="21" t="str">
        <x:v>Passed</x:v>
      </x:c>
      <x:c r="J37" s="21" t="str"/>
      <x:c r="K37" s="21" t="str">
        <x:v>Not needed</x:v>
      </x:c>
      <x:c r="L37" s="21" t="str">
        <x:v>Retest passed</x:v>
      </x:c>
      <x:c r="M37" s="18" t="str"/>
    </x:row>
    <x:row r="38" ht="86" customHeight="1">
      <x:c r="A38" s="18" t="str">
        <x:v>US-034</x:v>
      </x:c>
      <x:c r="B38" s="18" t="str">
        <x:v>Profile</x:v>
      </x:c>
      <x:c r="C38" s="18" t="str">
        <x:v>Subscription details</x:v>
      </x:c>
      <x:c r="D38" s="18" t="str">
        <x:v>As a subscriber, I want to see current plan, days left, expiration, autorenewal, devices, and available plan options.</x:v>
      </x:c>
      <x:c r="E38" s="18" t="str">
        <x:v>The subscription sheet displays current status and plan details from the app-session subscription API and offers checkout/cabinet actions without unsupported payment maturity claims.</x:v>
      </x:c>
      <x:c r="F38" s="18" t="str">
        <x:v>packages/app_shell/lib/src/profile/profile_sheets.dart; packages/app_shell/lib/app_first_runtime_bootstrap.dart</x:v>
      </x:c>
      <x:c r="G38" s="18" t="str">
        <x:v>pokrov_seed_app_test.dart: subscription sheet; app_first_runtime_bootstrap_test.dart: subscription API</x:v>
      </x:c>
      <x:c r="H38" s="21" t="str">
        <x:v>Retest passed</x:v>
      </x:c>
      <x:c r="I38" s="21" t="str">
        <x:v>Passed</x:v>
      </x:c>
      <x:c r="J38" s="21" t="str"/>
      <x:c r="K38" s="21" t="str">
        <x:v>Not needed</x:v>
      </x:c>
      <x:c r="L38" s="21" t="str">
        <x:v>Retest passed</x:v>
      </x:c>
      <x:c r="M38" s="18" t="str"/>
    </x:row>
    <x:row r="39" ht="86" customHeight="1">
      <x:c r="A39" s="18" t="str">
        <x:v>US-035</x:v>
      </x:c>
      <x:c r="B39" s="18" t="str">
        <x:v>Profile</x:v>
      </x:c>
      <x:c r="C39" s="18" t="str">
        <x:v>Checkout handoff</x:v>
      </x:c>
      <x:c r="D39" s="18" t="str">
        <x:v>As a user, I want payment actions to open the canonical checkout safely.</x:v>
      </x:c>
      <x:c r="E39" s="18" t="str">
        <x:v>Checkout actions use the canonical configured checkout URL and external handoff launcher, with failure reported through snackbar rather than silent no-op.</x:v>
      </x:c>
      <x:c r="F39" s="18" t="str">
        <x:v>packages/app_shell/lib/src/profile/profile_surface.dart; packages/app_shell/lib/src/shell/seed_shell.dart</x:v>
      </x:c>
      <x:c r="G39" s="18" t="str">
        <x:v>pokrov_seed_app_test.dart: checkout handoff</x:v>
      </x:c>
      <x:c r="H39" s="21" t="str">
        <x:v>Retest passed</x:v>
      </x:c>
      <x:c r="I39" s="21" t="str">
        <x:v>Passed</x:v>
      </x:c>
      <x:c r="J39" s="21" t="str"/>
      <x:c r="K39" s="21" t="str">
        <x:v>Not needed</x:v>
      </x:c>
      <x:c r="L39" s="21" t="str">
        <x:v>Retest passed</x:v>
      </x:c>
      <x:c r="M39" s="18" t="str"/>
    </x:row>
    <x:row r="40" ht="86" customHeight="1">
      <x:c r="A40" s="18" t="str">
        <x:v>US-036</x:v>
      </x:c>
      <x:c r="B40" s="18" t="str">
        <x:v>Profile</x:v>
      </x:c>
      <x:c r="C40" s="18" t="str">
        <x:v>Cabinet handoff</x:v>
      </x:c>
      <x:c r="D40" s="18" t="str">
        <x:v>As a user, I want cabinet actions to open an authenticated cabinet handoff when possible.</x:v>
      </x:c>
      <x:c r="E40" s="18" t="str">
        <x:v>Cabinet actions request a session-scoped cabinet handoff URL, open it externally, and fall back to the safe cabinet URL if the handoff service fails.</x:v>
      </x:c>
      <x:c r="F40" s="18" t="str">
        <x:v>packages/app_shell/lib/src/shell/seed_shell.dart; packages/app_shell/lib/app_first_runtime_bootstrap.dart</x:v>
      </x:c>
      <x:c r="G40" s="18" t="str">
        <x:v>pokrov_seed_app_test.dart: cabinet actions; app_first_runtime_bootstrap_test.dart: cabinet handoff</x:v>
      </x:c>
      <x:c r="H40" s="21" t="str">
        <x:v>Retest passed</x:v>
      </x:c>
      <x:c r="I40" s="21" t="str">
        <x:v>Passed</x:v>
      </x:c>
      <x:c r="J40" s="21" t="str"/>
      <x:c r="K40" s="21" t="str">
        <x:v>Not needed</x:v>
      </x:c>
      <x:c r="L40" s="21" t="str">
        <x:v>Retest passed</x:v>
      </x:c>
      <x:c r="M40" s="18" t="str"/>
    </x:row>
    <x:row r="41" ht="86" customHeight="1">
      <x:c r="A41" s="18" t="str">
        <x:v>US-037</x:v>
      </x:c>
      <x:c r="B41" s="18" t="str">
        <x:v>Profile</x:v>
      </x:c>
      <x:c r="C41" s="18" t="str">
        <x:v>Telegram account link</x:v>
      </x:c>
      <x:c r="D41" s="18" t="str">
        <x:v>As a user, I want to link Telegram from Profile so support and rewards can work.</x:v>
      </x:c>
      <x:c r="E41" s="18" t="str">
        <x:v>The Telegram link action calls the app-first Telegram link endpoint, opens the returned bot URL, updates linked/code-opened status, and shows non-fatal errors.</x:v>
      </x:c>
      <x:c r="F41" s="18" t="str">
        <x:v>packages/app_shell/lib/src/profile/profile_surface.dart; packages/app_shell/lib/src/shell/seed_shell.dart; packages/app_shell/lib/app_first_runtime_bootstrap.dart</x:v>
      </x:c>
      <x:c r="G41" s="18" t="str">
        <x:v>pokrov_seed_app_test.dart: Telegram profile action; app_first_runtime_bootstrap_test.dart: Telegram link</x:v>
      </x:c>
      <x:c r="H41" s="21" t="str">
        <x:v>Retest passed</x:v>
      </x:c>
      <x:c r="I41" s="21" t="str">
        <x:v>Passed</x:v>
      </x:c>
      <x:c r="J41" s="21" t="str"/>
      <x:c r="K41" s="21" t="str">
        <x:v>Not needed</x:v>
      </x:c>
      <x:c r="L41" s="21" t="str">
        <x:v>Retest passed</x:v>
      </x:c>
      <x:c r="M41" s="18" t="str"/>
    </x:row>
    <x:row r="42" ht="86" customHeight="1">
      <x:c r="A42" s="18" t="str">
        <x:v>US-038</x:v>
      </x:c>
      <x:c r="B42" s="18" t="str">
        <x:v>Profile</x:v>
      </x:c>
      <x:c r="C42" s="18" t="str">
        <x:v>Telegram bonus from Profile</x:v>
      </x:c>
      <x:c r="D42" s="18" t="str">
        <x:v>As a user, I want to check and claim the Telegram bonus from Profile as well as Home.</x:v>
      </x:c>
      <x:c r="E42" s="18" t="str">
        <x:v>Profile exposes check/claim states, disables busy duplicate actions, shows errors inline, and refreshes bonus summary after claim.</x:v>
      </x:c>
      <x:c r="F42" s="18" t="str">
        <x:v>packages/app_shell/lib/src/profile/profile_surface.dart; packages/app_shell/lib/src/shell/seed_shell.dart</x:v>
      </x:c>
      <x:c r="G42" s="18" t="str">
        <x:v>pokrov_seed_app_test.dart: profile Telegram bonus</x:v>
      </x:c>
      <x:c r="H42" s="21" t="str">
        <x:v>Retest passed</x:v>
      </x:c>
      <x:c r="I42" s="21" t="str">
        <x:v>Passed</x:v>
      </x:c>
      <x:c r="J42" s="21" t="str"/>
      <x:c r="K42" s="21" t="str">
        <x:v>Not needed</x:v>
      </x:c>
      <x:c r="L42" s="21" t="str">
        <x:v>Retest passed</x:v>
      </x:c>
      <x:c r="M42" s="18" t="str"/>
    </x:row>
    <x:row r="43" ht="86" customHeight="1">
      <x:c r="A43" s="18" t="str">
        <x:v>US-039</x:v>
      </x:c>
      <x:c r="B43" s="18" t="str">
        <x:v>Profile</x:v>
      </x:c>
      <x:c r="C43" s="18" t="str">
        <x:v>Email recovery</x:v>
      </x:c>
      <x:c r="D43" s="18" t="str">
        <x:v>As a user, I want email setup and recovery paths to be available without treating email as the primary login path.</x:v>
      </x:c>
      <x:c r="E43" s="18" t="str">
        <x:v>The email sheet explains email as recovery/backup, opens cabinet email/recovery paths, and does not replace app-first or Telegram-linked flows.</x:v>
      </x:c>
      <x:c r="F43" s="18" t="str">
        <x:v>packages/app_shell/lib/src/profile/profile_sheets.dart</x:v>
      </x:c>
      <x:c r="G43" s="18" t="str">
        <x:v>pokrov_seed_app_test.dart: email recovery sheet</x:v>
      </x:c>
      <x:c r="H43" s="21" t="str">
        <x:v>Retest passed</x:v>
      </x:c>
      <x:c r="I43" s="21" t="str">
        <x:v>Passed</x:v>
      </x:c>
      <x:c r="J43" s="21" t="str"/>
      <x:c r="K43" s="21" t="str">
        <x:v>Not needed</x:v>
      </x:c>
      <x:c r="L43" s="21" t="str">
        <x:v>Retest passed</x:v>
      </x:c>
      <x:c r="M43" s="18" t="str"/>
    </x:row>
    <x:row r="44" ht="86" customHeight="1">
      <x:c r="A44" s="18" t="str">
        <x:v>US-040</x:v>
      </x:c>
      <x:c r="B44" s="18" t="str">
        <x:v>Profile</x:v>
      </x:c>
      <x:c r="C44" s="18" t="str">
        <x:v>Device management</x:v>
      </x:c>
      <x:c r="D44" s="18" t="str">
        <x:v>As a user, I want to see devices and revoke old ones.</x:v>
      </x:c>
      <x:c r="E44" s="18" t="str">
        <x:v>The devices sheet fetches devices through the app-session API, labels the current device, allows revocation for other devices, reloads after success, and reports errors inline.</x:v>
      </x:c>
      <x:c r="F44" s="18" t="str">
        <x:v>packages/app_shell/lib/src/profile/profile_sheets.dart; packages/app_shell/lib/app_first_runtime_bootstrap.dart</x:v>
      </x:c>
      <x:c r="G44" s="18" t="str">
        <x:v>pokrov_seed_app_test.dart: devices sheet; app_first_runtime_bootstrap_test.dart: devices API</x:v>
      </x:c>
      <x:c r="H44" s="21" t="str">
        <x:v>Retest passed</x:v>
      </x:c>
      <x:c r="I44" s="21" t="str">
        <x:v>Passed</x:v>
      </x:c>
      <x:c r="J44" s="21" t="str"/>
      <x:c r="K44" s="21" t="str">
        <x:v>Not needed</x:v>
      </x:c>
      <x:c r="L44" s="21" t="str">
        <x:v>Retest passed</x:v>
      </x:c>
      <x:c r="M44" s="18" t="str"/>
    </x:row>
    <x:row r="45" ht="86" customHeight="1">
      <x:c r="A45" s="18" t="str">
        <x:v>US-041</x:v>
      </x:c>
      <x:c r="B45" s="18" t="str">
        <x:v>Profile</x:v>
      </x:c>
      <x:c r="C45" s="18" t="str">
        <x:v>Redeem code</x:v>
      </x:c>
      <x:c r="D45" s="18" t="str">
        <x:v>As a user, I want to apply a gift or activation code after onboarding.</x:v>
      </x:c>
      <x:c r="E45" s="18" t="str">
        <x:v>Profile opens a redeem sheet, validates non-empty input, rejects raw subscription links, calls the redeem endpoint, updates access state, and refreshes rewards when relevant.</x:v>
      </x:c>
      <x:c r="F45" s="18" t="str">
        <x:v>packages/app_shell/lib/src/profile/profile_sheets.dart; packages/app_shell/lib/src/shell/seed_shell.dart; packages/app_shell/lib/app_first_runtime_bootstrap.dart</x:v>
      </x:c>
      <x:c r="G45" s="18" t="str">
        <x:v>pokrov_seed_app_test.dart: profile redeem/gift; app_first_runtime_bootstrap_test.dart: redeem</x:v>
      </x:c>
      <x:c r="H45" s="21" t="str">
        <x:v>Retest passed</x:v>
      </x:c>
      <x:c r="I45" s="21" t="str">
        <x:v>Passed</x:v>
      </x:c>
      <x:c r="J45" s="21" t="str"/>
      <x:c r="K45" s="21" t="str">
        <x:v>Not needed</x:v>
      </x:c>
      <x:c r="L45" s="21" t="str">
        <x:v>Retest passed</x:v>
      </x:c>
      <x:c r="M45" s="18" t="str"/>
    </x:row>
    <x:row r="46" ht="86" customHeight="1">
      <x:c r="A46" s="18" t="str">
        <x:v>US-042</x:v>
      </x:c>
      <x:c r="B46" s="18" t="str">
        <x:v>Profile</x:v>
      </x:c>
      <x:c r="C46" s="18" t="str">
        <x:v>Notifications</x:v>
      </x:c>
      <x:c r="D46" s="18" t="str">
        <x:v>As a user, I want to read app notices and open safe CTAs.</x:v>
      </x:c>
      <x:c r="E46" s="18" t="str">
        <x:v>Profile shows notification count, opens a notifications sheet, marks items read through the app-session API, displays safe notification rows, and opens CTA URLs via the controlled handoff path.</x:v>
      </x:c>
      <x:c r="F46" s="18" t="str">
        <x:v>packages/app_shell/lib/src/profile/profile_sheets.dart; packages/app_shell/lib/src/shell/seed_shell.dart; packages/app_shell/lib/app_first_runtime_bootstrap.dart</x:v>
      </x:c>
      <x:c r="G46" s="18" t="str">
        <x:v>pokrov_seed_app_test.dart: notifications; app_first_runtime_bootstrap_test.dart: notifications API</x:v>
      </x:c>
      <x:c r="H46" s="21" t="str">
        <x:v>Retest passed</x:v>
      </x:c>
      <x:c r="I46" s="21" t="str">
        <x:v>Passed</x:v>
      </x:c>
      <x:c r="J46" s="21" t="str"/>
      <x:c r="K46" s="21" t="str">
        <x:v>Not needed</x:v>
      </x:c>
      <x:c r="L46" s="21" t="str">
        <x:v>Retest passed</x:v>
      </x:c>
      <x:c r="M46" s="18" t="str"/>
    </x:row>
    <x:row r="47" ht="86" customHeight="1">
      <x:c r="A47" s="18" t="str">
        <x:v>US-043</x:v>
      </x:c>
      <x:c r="B47" s="18" t="str">
        <x:v>Profile</x:v>
      </x:c>
      <x:c r="C47" s="18" t="str">
        <x:v>Diagnostics sheet</x:v>
      </x:c>
      <x:c r="D47" s="18" t="str">
        <x:v>As a user or support operator, I want a safe diagnostics view for app state.</x:v>
      </x:c>
      <x:c r="E47" s="18" t="str">
        <x:v>Diagnostics show app version, beta channel, device, connection status, route mode, and WARP status only; advanced controls or raw runtime artifacts are not exposed.</x:v>
      </x:c>
      <x:c r="F47" s="18" t="str">
        <x:v>packages/app_shell/lib/src/profile/profile_sheets.dart</x:v>
      </x:c>
      <x:c r="G47" s="18" t="str">
        <x:v>pokrov_seed_app_test.dart: diagnostics sheet</x:v>
      </x:c>
      <x:c r="H47" s="21" t="str">
        <x:v>Retest passed</x:v>
      </x:c>
      <x:c r="I47" s="21" t="str">
        <x:v>Passed</x:v>
      </x:c>
      <x:c r="J47" s="21" t="str"/>
      <x:c r="K47" s="21" t="str">
        <x:v>Not needed</x:v>
      </x:c>
      <x:c r="L47" s="21" t="str">
        <x:v>Retest passed</x:v>
      </x:c>
      <x:c r="M47" s="18" t="str"/>
    </x:row>
    <x:row r="48" ht="86" customHeight="1">
      <x:c r="A48" s="18" t="str">
        <x:v>US-044</x:v>
      </x:c>
      <x:c r="B48" s="18" t="str">
        <x:v>Rewards</x:v>
      </x:c>
      <x:c r="C48" s="18" t="str">
        <x:v>Rewards hub</x:v>
      </x:c>
      <x:c r="D48" s="18" t="str">
        <x:v>As a user, I want a single rewards hub with Telegram, referral, promo, history, and feature-gated activities.</x:v>
      </x:c>
      <x:c r="E48" s="18" t="str">
        <x:v>The rewards sheet shows Telegram and referral cards, safe promo slots, compact history, optional wheel/calendar activities only when enabled, and a refresh action.</x:v>
      </x:c>
      <x:c r="F48" s="18" t="str">
        <x:v>packages/app_shell/lib/src/rewards/rewards_hub.dart</x:v>
      </x:c>
      <x:c r="G48" s="18" t="str">
        <x:v>pokrov_seed_app_test.dart: rewards hub</x:v>
      </x:c>
      <x:c r="H48" s="21" t="str">
        <x:v>Retest passed</x:v>
      </x:c>
      <x:c r="I48" s="21" t="str">
        <x:v>Passed</x:v>
      </x:c>
      <x:c r="J48" s="21" t="str"/>
      <x:c r="K48" s="21" t="str">
        <x:v>Not needed</x:v>
      </x:c>
      <x:c r="L48" s="21" t="str">
        <x:v>Retest passed</x:v>
      </x:c>
      <x:c r="M48" s="18" t="str"/>
    </x:row>
    <x:row r="49" ht="86" customHeight="1">
      <x:c r="A49" s="18" t="str">
        <x:v>US-045</x:v>
      </x:c>
      <x:c r="B49" s="18" t="str">
        <x:v>Rewards</x:v>
      </x:c>
      <x:c r="C49" s="18" t="str">
        <x:v>Referral code and link</x:v>
      </x:c>
      <x:c r="D49" s="18" t="str">
        <x:v>As a user, I want to copy or share my referral code/link safely.</x:v>
      </x:c>
      <x:c r="E49" s="18" t="str">
        <x:v>The hub exposes copy-code, copy-link, and share/open-link actions when referral data exists; referral links are limited to safe Telegram URLs.</x:v>
      </x:c>
      <x:c r="F49" s="18" t="str">
        <x:v>packages/app_shell/lib/src/rewards/rewards_hub.dart</x:v>
      </x:c>
      <x:c r="G49" s="18" t="str">
        <x:v>pokrov_seed_app_test.dart: referral actions</x:v>
      </x:c>
      <x:c r="H49" s="21" t="str">
        <x:v>Retest passed</x:v>
      </x:c>
      <x:c r="I49" s="21" t="str">
        <x:v>Passed</x:v>
      </x:c>
      <x:c r="J49" s="21" t="str"/>
      <x:c r="K49" s="21" t="str">
        <x:v>Not needed</x:v>
      </x:c>
      <x:c r="L49" s="21" t="str">
        <x:v>Retest passed</x:v>
      </x:c>
      <x:c r="M49" s="18" t="str"/>
    </x:row>
    <x:row r="50" ht="86" customHeight="1">
      <x:c r="A50" s="18" t="str">
        <x:v>US-046</x:v>
      </x:c>
      <x:c r="B50" s="18" t="str">
        <x:v>Rewards</x:v>
      </x:c>
      <x:c r="C50" s="18" t="str">
        <x:v>Rewards promo safety</x:v>
      </x:c>
      <x:c r="D50" s="18" t="str">
        <x:v>As an operator, I want promo/reward slots to render only allowed links and content.</x:v>
      </x:c>
      <x:c r="E50" s="18" t="str">
        <x:v>Rewards promo slots accept safe tg:// or https links to t.me/pokrov.space hosts, hide unsafe URLs, cap display count, and do not render arbitrary remote code.</x:v>
      </x:c>
      <x:c r="F50" s="18" t="str">
        <x:v>packages/app_shell/lib/src/rewards/rewards_hub.dart; packages/app_shell/lib/app_first_runtime_bootstrap.dart</x:v>
      </x:c>
      <x:c r="G50" s="18" t="str">
        <x:v>pokrov_seed_app_test.dart: rewards promo safety; app_first_runtime_bootstrap_test.dart: promo slots</x:v>
      </x:c>
      <x:c r="H50" s="21" t="str">
        <x:v>Retest passed</x:v>
      </x:c>
      <x:c r="I50" s="21" t="str">
        <x:v>Passed</x:v>
      </x:c>
      <x:c r="J50" s="21" t="str"/>
      <x:c r="K50" s="21" t="str">
        <x:v>Not needed</x:v>
      </x:c>
      <x:c r="L50" s="21" t="str">
        <x:v>Retest passed</x:v>
      </x:c>
      <x:c r="M50" s="18" t="str"/>
    </x:row>
    <x:row r="51" ht="86" customHeight="1">
      <x:c r="A51" s="18" t="str">
        <x:v>US-047</x:v>
      </x:c>
      <x:c r="B51" s="18" t="str">
        <x:v>Rewards</x:v>
      </x:c>
      <x:c r="C51" s="18" t="str">
        <x:v>Wheel and calendar activities</x:v>
      </x:c>
      <x:c r="D51" s="18" t="str">
        <x:v>As a user, I want optional reward activities to appear only when the backend says they are available.</x:v>
      </x:c>
      <x:c r="E51" s="18" t="str">
        <x:v>Wheel and calendar controls are hidden when disabled, run through app-session endpoints when enabled, update summary/history, mark profile dirty, and show earned days or saved check-in feedback.</x:v>
      </x:c>
      <x:c r="F51" s="18" t="str">
        <x:v>packages/app_shell/lib/src/rewards/rewards_hub.dart; packages/app_shell/lib/src/shell/seed_shell.dart; packages/app_shell/lib/app_first_runtime_bootstrap.dart</x:v>
      </x:c>
      <x:c r="G51" s="18" t="str">
        <x:v>pokrov_seed_app_test.dart: wheel/calendar gated and active; app_first_runtime_bootstrap_test.dart: reward feature flags</x:v>
      </x:c>
      <x:c r="H51" s="21" t="str">
        <x:v>Retest passed</x:v>
      </x:c>
      <x:c r="I51" s="21" t="str">
        <x:v>Passed</x:v>
      </x:c>
      <x:c r="J51" s="21" t="str"/>
      <x:c r="K51" s="21" t="str">
        <x:v>Not needed</x:v>
      </x:c>
      <x:c r="L51" s="21" t="str">
        <x:v>Retest passed</x:v>
      </x:c>
      <x:c r="M51" s="18" t="str"/>
    </x:row>
    <x:row r="52" ht="86" customHeight="1">
      <x:c r="A52" s="18" t="str">
        <x:v>US-048</x:v>
      </x:c>
      <x:c r="B52" s="18" t="str">
        <x:v>Support</x:v>
      </x:c>
      <x:c r="C52" s="18" t="str">
        <x:v>Support chat entry</x:v>
      </x:c>
      <x:c r="D52" s="18" t="str">
        <x:v>As a user, I want Profile to open a real support screen rather than a placeholder.</x:v>
      </x:c>
      <x:c r="E52" s="18" t="str">
        <x:v>Support opens as a separate screen, loads existing tickets, chooses an open ticket when available, and shows Telegram fallback for access problems.</x:v>
      </x:c>
      <x:c r="F52" s="18" t="str">
        <x:v>packages/app_shell/lib/src/support/support_chat.dart; packages/app_shell/lib/src/profile/profile_surface.dart</x:v>
      </x:c>
      <x:c r="G52" s="18" t="str">
        <x:v>pokrov_seed_app_test.dart: support chat loads ticket</x:v>
      </x:c>
      <x:c r="H52" s="21" t="str">
        <x:v>Retest passed</x:v>
      </x:c>
      <x:c r="I52" s="21" t="str">
        <x:v>Passed</x:v>
      </x:c>
      <x:c r="J52" s="21" t="str"/>
      <x:c r="K52" s="21" t="str">
        <x:v>Not needed</x:v>
      </x:c>
      <x:c r="L52" s="21" t="str">
        <x:v>Retest passed</x:v>
      </x:c>
      <x:c r="M52" s="18" t="str"/>
    </x:row>
    <x:row r="53" ht="86" customHeight="1">
      <x:c r="A53" s="18" t="str">
        <x:v>US-049</x:v>
      </x:c>
      <x:c r="B53" s="18" t="str">
        <x:v>Support</x:v>
      </x:c>
      <x:c r="C53" s="18" t="str">
        <x:v>Support issue chips</x:v>
      </x:c>
      <x:c r="D53" s="18" t="str">
        <x:v>As a user, I want quick issue chips to help me start a support message.</x:v>
      </x:c>
      <x:c r="E53" s="18" t="str">
        <x:v>Issue chips fill the composer with common topics such as connection, speed, payment, bonuses, or other without sending automatically.</x:v>
      </x:c>
      <x:c r="F53" s="18" t="str">
        <x:v>packages/app_shell/lib/src/support/support_chat.dart</x:v>
      </x:c>
      <x:c r="G53" s="18" t="str">
        <x:v>pokrov_seed_app_test.dart: support issue chips</x:v>
      </x:c>
      <x:c r="H53" s="21" t="str">
        <x:v>Retest passed</x:v>
      </x:c>
      <x:c r="I53" s="21" t="str">
        <x:v>Passed</x:v>
      </x:c>
      <x:c r="J53" s="21" t="str"/>
      <x:c r="K53" s="21" t="str">
        <x:v>Not needed</x:v>
      </x:c>
      <x:c r="L53" s="21" t="str">
        <x:v>Retest passed</x:v>
      </x:c>
      <x:c r="M53" s="18" t="str"/>
    </x:row>
    <x:row r="54" ht="86" customHeight="1">
      <x:c r="A54" s="18" t="str">
        <x:v>US-050</x:v>
      </x:c>
      <x:c r="B54" s="18" t="str">
        <x:v>Support</x:v>
      </x:c>
      <x:c r="C54" s="18" t="str">
        <x:v>Ticket message send</x:v>
      </x:c>
      <x:c r="D54" s="18" t="str">
        <x:v>As a user, I want sending a support message to create or update a real ticket.</x:v>
      </x:c>
      <x:c r="E54" s="18" t="str">
        <x:v>Send is disabled for empty/loading/busy states, creates a ticket when none exists, sends a message for existing tickets, appends local user and assistant confirmation bubbles, and reports failures with retry/Telegram guidance.</x:v>
      </x:c>
      <x:c r="F54" s="18" t="str">
        <x:v>packages/app_shell/lib/src/support/support_chat.dart</x:v>
      </x:c>
      <x:c r="G54" s="18" t="str">
        <x:v>pokrov_seed_app_test.dart: support send/create/failure</x:v>
      </x:c>
      <x:c r="H54" s="21" t="str">
        <x:v>Retest passed</x:v>
      </x:c>
      <x:c r="I54" s="21" t="str">
        <x:v>Passed</x:v>
      </x:c>
      <x:c r="J54" s="21" t="str"/>
      <x:c r="K54" s="21" t="str">
        <x:v>Not needed</x:v>
      </x:c>
      <x:c r="L54" s="21" t="str">
        <x:v>Retest passed</x:v>
      </x:c>
      <x:c r="M54" s="18" t="str"/>
    </x:row>
    <x:row r="55" ht="86" customHeight="1">
      <x:c r="A55" s="18" t="str">
        <x:v>US-051</x:v>
      </x:c>
      <x:c r="B55" s="18" t="str">
        <x:v>Support</x:v>
      </x:c>
      <x:c r="C55" s="18" t="str">
        <x:v>Support polling and lifecycle</x:v>
      </x:c>
      <x:c r="D55" s="18" t="str">
        <x:v>As a user, I want support status to reflect whether an operator can answer and whether the thread is open.</x:v>
      </x:c>
      <x:c r="E55" s="18" t="str">
        <x:v>Open tickets poll every 10 seconds, lifecycle hints distinguish loading/ready/tracking/refreshing/operator/closed/offline states, and retry reloads the thread after offline errors.</x:v>
      </x:c>
      <x:c r="F55" s="18" t="str">
        <x:v>packages/app_shell/lib/src/support/support_chat.dart</x:v>
      </x:c>
      <x:c r="G55" s="18" t="str">
        <x:v>pokrov_seed_app_test.dart: support polling/offline/retry</x:v>
      </x:c>
      <x:c r="H55" s="21" t="str">
        <x:v>Retest passed</x:v>
      </x:c>
      <x:c r="I55" s="21" t="str">
        <x:v>Passed</x:v>
      </x:c>
      <x:c r="J55" s="21" t="str"/>
      <x:c r="K55" s="21" t="str">
        <x:v>Not needed</x:v>
      </x:c>
      <x:c r="L55" s="21" t="str">
        <x:v>Retest passed</x:v>
      </x:c>
      <x:c r="M55" s="18" t="str"/>
    </x:row>
    <x:row r="56" ht="86" customHeight="1">
      <x:c r="A56" s="18" t="str">
        <x:v>US-052</x:v>
      </x:c>
      <x:c r="B56" s="18" t="str">
        <x:v>Support</x:v>
      </x:c>
      <x:c r="C56" s="18" t="str">
        <x:v>Support diagnostics attachment</x:v>
      </x:c>
      <x:c r="D56" s="18" t="str">
        <x:v>As a user, I want to preview diagnostics before sending them to support.</x:v>
      </x:c>
      <x:c r="E56" s="18" t="str">
        <x:v>Diagnostics preview shows only safe fields, attachment is explicit, queued diagnostics can be cleared, and outgoing payloads are redacted by the support context helpers.</x:v>
      </x:c>
      <x:c r="F56" s="18" t="str">
        <x:v>packages/app_shell/lib/src/support/support_chat.dart; packages/support_context/lib/support_context.dart</x:v>
      </x:c>
      <x:c r="G56" s="18" t="str">
        <x:v>pokrov_seed_app_test.dart: support diagnostics; assistant_contract_test.dart</x:v>
      </x:c>
      <x:c r="H56" s="21" t="str">
        <x:v>Retest passed</x:v>
      </x:c>
      <x:c r="I56" s="21" t="str">
        <x:v>Passed</x:v>
      </x:c>
      <x:c r="J56" s="21" t="str"/>
      <x:c r="K56" s="21" t="str">
        <x:v>Not needed</x:v>
      </x:c>
      <x:c r="L56" s="21" t="str">
        <x:v>Retest passed</x:v>
      </x:c>
      <x:c r="M56" s="18" t="str"/>
    </x:row>
    <x:row r="57" ht="86" customHeight="1">
      <x:c r="A57" s="18" t="str">
        <x:v>US-053</x:v>
      </x:c>
      <x:c r="B57" s="18" t="str">
        <x:v>Support</x:v>
      </x:c>
      <x:c r="C57" s="18" t="str">
        <x:v>AI support helper contract</x:v>
      </x:c>
      <x:c r="D57" s="18" t="str">
        <x:v>As a support user, I want assistant suggestions to stay scoped to support and never leak sensitive config.</x:v>
      </x:c>
      <x:c r="E57" s="18" t="str">
        <x:v>Assistant calls are session-scoped, ticket-backed, use only support-safe diagnostics, redact URLs/tokens/raw configs/private keys, and require confirmation before any action-like suggestion.</x:v>
      </x:c>
      <x:c r="F57" s="18" t="str">
        <x:v>packages/app_shell/lib/src/support/pokrov_ai_assistant.dart; packages/support_context/lib/support_context.dart; packages/app_shell/lib/app_first_runtime_bootstrap.dart</x:v>
      </x:c>
      <x:c r="G57" s="18" t="str">
        <x:v>assistant_contract_test.dart; app_first_runtime_bootstrap_test.dart</x:v>
      </x:c>
      <x:c r="H57" s="21" t="str">
        <x:v>Retest passed</x:v>
      </x:c>
      <x:c r="I57" s="21" t="str">
        <x:v>Passed</x:v>
      </x:c>
      <x:c r="J57" s="21" t="str"/>
      <x:c r="K57" s="21" t="str">
        <x:v>Not needed</x:v>
      </x:c>
      <x:c r="L57" s="21" t="str">
        <x:v>Retest passed</x:v>
      </x:c>
      <x:c r="M57" s="18" t="str"/>
    </x:row>
    <x:row r="58" ht="86" customHeight="1">
      <x:c r="A58" s="18" t="str">
        <x:v>US-054</x:v>
      </x:c>
      <x:c r="B58" s="18" t="str">
        <x:v>External handoff</x:v>
      </x:c>
      <x:c r="C58" s="18" t="str">
        <x:v>Allowed external destinations</x:v>
      </x:c>
      <x:c r="D58" s="18" t="str">
        <x:v>As a user, I want app buttons to open only expected public/support/cabinet/payment destinations.</x:v>
      </x:c>
      <x:c r="E58" s="18" t="str">
        <x:v>Checkout, cabinet, download, community, support, feedback, notification, promo, and referral handoffs are normalized through safe URI builders and fallbacks; blocked or failed launches are visible.</x:v>
      </x:c>
      <x:c r="F58" s="18" t="str">
        <x:v>packages/app_shell/lib/src/shell/seed_shell.dart; packages/app_shell/lib/src/home/home_surface.dart; packages/app_shell/lib/src/rewards/rewards_hub.dart</x:v>
      </x:c>
      <x:c r="G58" s="18" t="str">
        <x:v>pokrov_seed_app_test.dart: handoff safety</x:v>
      </x:c>
      <x:c r="H58" s="21" t="str">
        <x:v>Retest passed</x:v>
      </x:c>
      <x:c r="I58" s="21" t="str">
        <x:v>Passed</x:v>
      </x:c>
      <x:c r="J58" s="21" t="str"/>
      <x:c r="K58" s="21" t="str">
        <x:v>Not needed</x:v>
      </x:c>
      <x:c r="L58" s="21" t="str">
        <x:v>Retest passed</x:v>
      </x:c>
      <x:c r="M58" s="18" t="str"/>
    </x:row>
    <x:row r="59" ht="86" customHeight="1">
      <x:c r="A59" s="18" t="str">
        <x:v>US-055</x:v>
      </x:c>
      <x:c r="B59" s="18" t="str">
        <x:v>App-first backend</x:v>
      </x:c>
      <x:c r="C59" s="18" t="str">
        <x:v>Session bootstrap and retry</x:v>
      </x:c>
      <x:c r="D59" s="18" t="str">
        <x:v>As a user, I want backend calls to recover from expired app sessions automatically.</x:v>
      </x:c>
      <x:c r="E59" s="18" t="str">
        <x:v>Bootstrap starts a trial when no session exists, persists session/device identifiers, retries once on session failures, and syncs route policy before fetching managed manifests.</x:v>
      </x:c>
      <x:c r="F59" s="18" t="str">
        <x:v>packages/app_shell/lib/app_first_runtime_bootstrap.dart</x:v>
      </x:c>
      <x:c r="G59" s="18" t="str">
        <x:v>app_first_runtime_bootstrap_test.dart: session bootstrap and retry</x:v>
      </x:c>
      <x:c r="H59" s="21" t="str">
        <x:v>Retest passed</x:v>
      </x:c>
      <x:c r="I59" s="21" t="str">
        <x:v>Passed</x:v>
      </x:c>
      <x:c r="J59" s="21" t="str"/>
      <x:c r="K59" s="21" t="str">
        <x:v>Not needed</x:v>
      </x:c>
      <x:c r="L59" s="21" t="str">
        <x:v>Retest passed</x:v>
      </x:c>
      <x:c r="M59" s="18" t="str"/>
    </x:row>
    <x:row r="60" ht="86" customHeight="1">
      <x:c r="A60" s="18" t="str">
        <x:v>US-056</x:v>
      </x:c>
      <x:c r="B60" s="18" t="str">
        <x:v>App-first backend</x:v>
      </x:c>
      <x:c r="C60" s="18" t="str">
        <x:v>Android direct API fallback</x:v>
      </x:c>
      <x:c r="D60" s="18" t="str">
        <x:v>As an Android user, I want the app to keep reaching the canonical API when DNS is unreliable.</x:v>
      </x:c>
      <x:c r="E60" s="18" t="str">
        <x:v>Android HTTPS requests to api.pokrov.space may bootstrap through the canonical control-plane IP while preserving the public host/TLS contract; other platforms and hosts do not silently swap origins.</x:v>
      </x:c>
      <x:c r="F60" s="18" t="str">
        <x:v>packages/app_shell/lib/app_first_runtime_bootstrap.dart</x:v>
      </x:c>
      <x:c r="G60" s="18" t="str">
        <x:v>app_first_runtime_bootstrap_test.dart: direct address fallback</x:v>
      </x:c>
      <x:c r="H60" s="21" t="str">
        <x:v>Retest passed</x:v>
      </x:c>
      <x:c r="I60" s="21" t="str">
        <x:v>Passed</x:v>
      </x:c>
      <x:c r="J60" s="21" t="str"/>
      <x:c r="K60" s="21" t="str">
        <x:v>Not needed</x:v>
      </x:c>
      <x:c r="L60" s="21" t="str">
        <x:v>Retest passed</x:v>
      </x:c>
      <x:c r="M60" s="18" t="str"/>
    </x:row>
    <x:row r="61" ht="86" customHeight="1">
      <x:c r="A61" s="18" t="str">
        <x:v>US-057</x:v>
      </x:c>
      <x:c r="B61" s="18" t="str">
        <x:v>App-first backend</x:v>
      </x:c>
      <x:c r="C61" s="18" t="str">
        <x:v>Client data APIs</x:v>
      </x:c>
      <x:c r="D61" s="18" t="str">
        <x:v>As a user, I want locations, subscription, devices, notifications, push, and assistant data to be tied to my app session.</x:v>
      </x:c>
      <x:c r="E61" s="18" t="str">
        <x:v>All client data calls use app-session auth, parse safe typed DTOs, retry session failures where designed, and preserve app-first identity rather than requiring manual username sync.</x:v>
      </x:c>
      <x:c r="F61" s="18" t="str">
        <x:v>packages/app_shell/lib/app_first_runtime_bootstrap.dart</x:v>
      </x:c>
      <x:c r="G61" s="18" t="str">
        <x:v>app_first_runtime_bootstrap_test.dart: client P0/P1 API additions</x:v>
      </x:c>
      <x:c r="H61" s="21" t="str">
        <x:v>Retest passed</x:v>
      </x:c>
      <x:c r="I61" s="21" t="str">
        <x:v>Passed</x:v>
      </x:c>
      <x:c r="J61" s="21" t="str"/>
      <x:c r="K61" s="21" t="str">
        <x:v>Not needed</x:v>
      </x:c>
      <x:c r="L61" s="21" t="str">
        <x:v>Retest passed</x:v>
      </x:c>
      <x:c r="M61" s="18" t="str"/>
    </x:row>
    <x:row r="62" ht="86" customHeight="1">
      <x:c r="A62" s="18" t="str">
        <x:v>US-058</x:v>
      </x:c>
      <x:c r="B62" s="18" t="str">
        <x:v>Routing</x:v>
      </x:c>
      <x:c r="C62" s="18" t="str">
        <x:v>All-except-RU rules</x:v>
      </x:c>
      <x:c r="D62" s="18" t="str">
        <x:v>As a user, I want the default mode to protect non-RU traffic while keeping RU services direct.</x:v>
      </x:c>
      <x:c r="E62" s="18" t="str">
        <x:v>All-except-RU policy materializes local bypass rules, route selections, and platform-specific config for the current runtime without changing node-pool assignment or hiding routing changes.</x:v>
      </x:c>
      <x:c r="F62" s="18" t="str">
        <x:v>packages/app_shell/lib/app_first_runtime_bootstrap.dart; packages/app_shell/lib/src/seed/seed_context.dart</x:v>
      </x:c>
      <x:c r="G62" s="18" t="str">
        <x:v>app_first_runtime_bootstrap_test.dart: all-except-RU rules</x:v>
      </x:c>
      <x:c r="H62" s="21" t="str">
        <x:v>Retest passed</x:v>
      </x:c>
      <x:c r="I62" s="21" t="str">
        <x:v>Passed</x:v>
      </x:c>
      <x:c r="J62" s="21" t="str"/>
      <x:c r="K62" s="21" t="str">
        <x:v>Not needed</x:v>
      </x:c>
      <x:c r="L62" s="21" t="str">
        <x:v>Retest passed</x:v>
      </x:c>
      <x:c r="M62" s="18" t="str"/>
    </x:row>
    <x:row r="63" ht="86" customHeight="1">
      <x:c r="A63" s="18" t="str">
        <x:v>US-059</x:v>
      </x:c>
      <x:c r="B63" s="18" t="str">
        <x:v>Routing</x:v>
      </x:c>
      <x:c r="C63" s="18" t="str">
        <x:v>Selected-app config materialization</x:v>
      </x:c>
      <x:c r="D63" s="18" t="str">
        <x:v>As a selected-app user, I want only chosen apps to use the tunnel where the platform supports it.</x:v>
      </x:c>
      <x:c r="E63" s="18" t="str">
        <x:v>Selected app IDs are sent in route policy, materialized into runtime config only for supported platforms, and omitted when another route mode is selected.</x:v>
      </x:c>
      <x:c r="F63" s="18" t="str">
        <x:v>packages/app_shell/lib/src/shell/seed_shell.dart; packages/app_shell/lib/app_first_runtime_bootstrap.dart</x:v>
      </x:c>
      <x:c r="G63" s="18" t="str">
        <x:v>pokrov_seed_app_test.dart: selected apps; app_first_runtime_bootstrap_test.dart: selected-app config</x:v>
      </x:c>
      <x:c r="H63" s="21" t="str">
        <x:v>Retest passed</x:v>
      </x:c>
      <x:c r="I63" s="21" t="str">
        <x:v>Passed</x:v>
      </x:c>
      <x:c r="J63" s="21" t="str"/>
      <x:c r="K63" s="21" t="str">
        <x:v>Not needed</x:v>
      </x:c>
      <x:c r="L63" s="21" t="str">
        <x:v>Retest passed</x:v>
      </x:c>
      <x:c r="M63" s="18" t="str"/>
    </x:row>
    <x:row r="64" ht="86" customHeight="1">
      <x:c r="A64" s="18" t="str">
        <x:v>US-060</x:v>
      </x:c>
      <x:c r="B64" s="18" t="str">
        <x:v>Runtime Android</x:v>
      </x:c>
      <x:c r="C64" s="18" t="str">
        <x:v>Mobile artifact runtime bridge</x:v>
      </x:c>
      <x:c r="D64" s="18" t="str">
        <x:v>As an Android user, I want runtime control to go through the native bridge and degrade gracefully if the bridge is unavailable.</x:v>
      </x:c>
      <x:c r="E64" s="18" t="str">
        <x:v>The mobile engine delegates snapshot/init/stage/connect/disconnect/WARP/live stats/push token calls to the MethodChannel, parses diagnostics, and falls back to safe snapshots on missing bridge errors.</x:v>
      </x:c>
      <x:c r="F64" s="18" t="str">
        <x:v>packages/runtime_engine/lib/runtime_engine.dart; apps/android_shell</x:v>
      </x:c>
      <x:c r="G64" s="18" t="str">
        <x:v>runtime_engine tests: mobile artifact bridge; apps/android_shell/test</x:v>
      </x:c>
      <x:c r="H64" s="21" t="str">
        <x:v>Retest passed</x:v>
      </x:c>
      <x:c r="I64" s="21" t="str">
        <x:v>Passed</x:v>
      </x:c>
      <x:c r="J64" s="21" t="str"/>
      <x:c r="K64" s="21" t="str">
        <x:v>Not needed</x:v>
      </x:c>
      <x:c r="L64" s="21" t="str">
        <x:v>Retest passed</x:v>
      </x:c>
      <x:c r="M64" s="18" t="str"/>
    </x:row>
    <x:row r="65" ht="86" customHeight="1">
      <x:c r="A65" s="18" t="str">
        <x:v>US-061</x:v>
      </x:c>
      <x:c r="B65" s="18" t="str">
        <x:v>Runtime Desktop</x:v>
      </x:c>
      <x:c r="C65" s="18" t="str">
        <x:v>Windows desktop runtime</x:v>
      </x:c>
      <x:c r="D65" s="18" t="str">
        <x:v>As a Windows beta user, I want the app to find libcore artifacts, stage config, and start the runtime reliably.</x:v>
      </x:c>
      <x:c r="E65" s="18" t="str">
        <x:v>Desktop runtime discovers libcore, writes managed profile config, syncs options, starts/stops the runtime, probes local proxy health, and reports honest live stats.</x:v>
      </x:c>
      <x:c r="F65" s="18" t="str">
        <x:v>packages/runtime_engine/lib/runtime_engine.dart; apps/windows_shell</x:v>
      </x:c>
      <x:c r="G65" s="18" t="str">
        <x:v>runtime_engine tests: desktop runtime; apps/windows_shell/test</x:v>
      </x:c>
      <x:c r="H65" s="21" t="str">
        <x:v>Retest passed</x:v>
      </x:c>
      <x:c r="I65" s="21" t="str">
        <x:v>Passed</x:v>
      </x:c>
      <x:c r="J65" s="21" t="str"/>
      <x:c r="K65" s="21" t="str">
        <x:v>Not needed</x:v>
      </x:c>
      <x:c r="L65" s="21" t="str">
        <x:v>Retest passed</x:v>
      </x:c>
      <x:c r="M65" s="18" t="str"/>
    </x:row>
    <x:row r="66" ht="86" customHeight="1">
      <x:c r="A66" s="18" t="str">
        <x:v>US-062</x:v>
      </x:c>
      <x:c r="B66" s="18" t="str">
        <x:v>Runtime</x:v>
      </x:c>
      <x:c r="C66" s="18" t="str">
        <x:v>Live stats honesty</x:v>
      </x:c>
      <x:c r="D66" s="18" t="str">
        <x:v>As a user, I should not see fake traffic or fabricated health values.</x:v>
      </x:c>
      <x:c r="E66" s="18" t="str">
        <x:v>Live stats come from host/runtime data when available, otherwise surface unavailable/zeroed states honestly without synthetic traffic.</x:v>
      </x:c>
      <x:c r="F66" s="18" t="str">
        <x:v>packages/runtime_engine/lib/runtime_engine.dart</x:v>
      </x:c>
      <x:c r="G66" s="18" t="str">
        <x:v>runtime_engine tests: honest stats</x:v>
      </x:c>
      <x:c r="H66" s="21" t="str">
        <x:v>Retest passed</x:v>
      </x:c>
      <x:c r="I66" s="21" t="str">
        <x:v>Passed</x:v>
      </x:c>
      <x:c r="J66" s="21" t="str"/>
      <x:c r="K66" s="21" t="str">
        <x:v>Not needed</x:v>
      </x:c>
      <x:c r="L66" s="21" t="str">
        <x:v>Retest passed</x:v>
      </x:c>
      <x:c r="M66" s="18" t="str"/>
    </x:row>
    <x:row r="67" ht="86" customHeight="1">
      <x:c r="A67" s="18" t="str">
        <x:v>US-063</x:v>
      </x:c>
      <x:c r="B67" s="18" t="str">
        <x:v>Android shell</x:v>
      </x:c>
      <x:c r="C67" s="18" t="str">
        <x:v>Foreground service hardening</x:v>
      </x:c>
      <x:c r="D67" s="18" t="str">
        <x:v>As an Android user, I want VPN runtime foreground service failures to be handled safely.</x:v>
      </x:c>
      <x:c r="E67" s="18" t="str">
        <x:v>Android manifest/service tests ensure special foreground permissions and hardened failure handling are present for the outside-store beta shell.</x:v>
      </x:c>
      <x:c r="F67" s="18" t="str">
        <x:v>apps/android_shell/android; apps/android_shell/test</x:v>
      </x:c>
      <x:c r="G67" s="18" t="str">
        <x:v>apps/android_shell/test; Android Gradle unit tests</x:v>
      </x:c>
      <x:c r="H67" s="21" t="str">
        <x:v>Retest passed</x:v>
      </x:c>
      <x:c r="I67" s="21" t="str">
        <x:v>Passed</x:v>
      </x:c>
      <x:c r="J67" s="21" t="str"/>
      <x:c r="K67" s="21" t="str">
        <x:v>Not needed</x:v>
      </x:c>
      <x:c r="L67" s="21" t="str">
        <x:v>Retest passed</x:v>
      </x:c>
      <x:c r="M67" s="18" t="str"/>
    </x:row>
    <x:row r="68" ht="86" customHeight="1">
      <x:c r="A68" s="18" t="str">
        <x:v>US-064</x:v>
      </x:c>
      <x:c r="B68" s="18" t="str">
        <x:v>Windows shell</x:v>
      </x:c>
      <x:c r="C68" s="18" t="str">
        <x:v>Unsigned beta release contract</x:v>
      </x:c>
      <x:c r="D68" s="18" t="str">
        <x:v>As a Windows beta user, I want release wording and runtime assumptions to match the actual unsigned beta.</x:v>
      </x:c>
      <x:c r="E68" s="18" t="str">
        <x:v>Windows tests preserve the libcore-only unsigned beta contract and avoid claiming trusted Windows signing or stable 1.0.0 readiness.</x:v>
      </x:c>
      <x:c r="F68" s="18" t="str">
        <x:v>apps/windows_shell/test; docs/operations/publishing-and-signing-guide.md</x:v>
      </x:c>
      <x:c r="G68" s="18" t="str">
        <x:v>apps/windows_shell/test</x:v>
      </x:c>
      <x:c r="H68" s="21" t="str">
        <x:v>Retest passed</x:v>
      </x:c>
      <x:c r="I68" s="21" t="str">
        <x:v>Passed</x:v>
      </x:c>
      <x:c r="J68" s="21" t="str">
        <x:v>ISS-001</x:v>
      </x:c>
      <x:c r="K68" s="21" t="str">
        <x:v>Fixed</x:v>
      </x:c>
      <x:c r="L68" s="21" t="str">
        <x:v>Retest passed</x:v>
      </x:c>
      <x:c r="M68" s="18" t="str">
        <x:v>Updated the Windows shell test to assert the primary-connect-action descendant text 'Недоступно', the home-warp-tile key, and current 'Дополнительная защита' copy.</x:v>
      </x:c>
    </x:row>
    <x:row r="69" ht="86" customHeight="1">
      <x:c r="A69" s="18" t="str">
        <x:v>US-065</x:v>
      </x:c>
      <x:c r="B69" s="18" t="str">
        <x:v>Design system</x:v>
      </x:c>
      <x:c r="C69" s="18" t="str">
        <x:v>Premium quiet UI</x:v>
      </x:c>
      <x:c r="D69" s="18" t="str">
        <x:v>As a POKROV user, I want the app to feel calm, flat, and premium rather than noisy or placeholder-like.</x:v>
      </x:c>
      <x:c r="E69" s="18" t="str">
        <x:v>The design system preserves tokenized colors, dark mode, motion/reduced-motion behavior, compact controls, skeletons, desktop sidebar, and no generic AI-purple/card-spam patterns.</x:v>
      </x:c>
      <x:c r="F69" s="18" t="str">
        <x:v>packages/app_shell/lib/src/design; shared design docs in C:/Users/kiwun/Documents/ai/VPN</x:v>
      </x:c>
      <x:c r="G69" s="18" t="str">
        <x:v>design_system_contract_test.dart; ui_copy_contract_test.dart; pokrov_seed_app_test.dart</x:v>
      </x:c>
      <x:c r="H69" s="21" t="str">
        <x:v>Retest passed</x:v>
      </x:c>
      <x:c r="I69" s="21" t="str">
        <x:v>Passed</x:v>
      </x:c>
      <x:c r="J69" s="21" t="str"/>
      <x:c r="K69" s="21" t="str">
        <x:v>Not needed</x:v>
      </x:c>
      <x:c r="L69" s="21" t="str">
        <x:v>Retest passed</x:v>
      </x:c>
      <x:c r="M69" s="18" t="str"/>
    </x:row>
    <x:row r="70" ht="86" customHeight="1">
      <x:c r="A70" s="18" t="str">
        <x:v>US-066</x:v>
      </x:c>
      <x:c r="B70" s="18" t="str">
        <x:v>Copy and claims</x:v>
      </x:c>
      <x:c r="C70" s="18" t="str">
        <x:v>Beta honesty and allowed VPN wording</x:v>
      </x:c>
      <x:c r="D70" s="18" t="str">
        <x:v>As a user, I want copy that plainly says POKROV VPN where useful while staying honest about beta scope.</x:v>
      </x:c>
      <x:c r="E70" s="18" t="str">
        <x:v>Visible app copy may use VPN/ВПН, keeps app-first identity, avoids store/stable/trusted-signing/RU-origin claims, and keeps beta status in diagnostics rather than marketing UI.</x:v>
      </x:c>
      <x:c r="F70" s="18" t="str">
        <x:v>packages/app_shell/test/ui_copy_contract_test.dart; docs/product/portal-vpn-product.md; docs/design/2026-06-13-pokrov-product-ui-direction.md</x:v>
      </x:c>
      <x:c r="G70" s="18" t="str">
        <x:v>ui_copy_contract_test.dart; pokrov_seed_app_test.dart</x:v>
      </x:c>
      <x:c r="H70" s="21" t="str">
        <x:v>Retest passed</x:v>
      </x:c>
      <x:c r="I70" s="21" t="str">
        <x:v>Passed</x:v>
      </x:c>
      <x:c r="J70" s="21" t="str"/>
      <x:c r="K70" s="21" t="str">
        <x:v>Not needed</x:v>
      </x:c>
      <x:c r="L70" s="21" t="str">
        <x:v>Retest passed</x:v>
      </x:c>
      <x:c r="M70" s="18" t="str"/>
    </x:row>
    <x:row r="71" ht="86" customHeight="1">
      <x:c r="A71" s="19" t="str">
        <x:v>US-067</x:v>
      </x:c>
      <x:c r="B71" s="19" t="str">
        <x:v>Release gates</x:v>
      </x:c>
      <x:c r="C71" s="19" t="str">
        <x:v>Manual owner gates</x:v>
      </x:c>
      <x:c r="D71" s="19" t="str">
        <x:v>As the operator, I want tests to distinguish local automation from owner-only release gates.</x:v>
      </x:c>
      <x:c r="E71" s="19" t="str">
        <x:v>Physical Android audit, real Telegram WebApp/user session, signing identity, store access, payment dashboard, live deploy, and RU-origin probe checks are recorded as manual/skipped/blocked statuses rather than silently passing.</x:v>
      </x:c>
      <x:c r="F71" s="19" t="str">
        <x:v>docs/operations/publishing-and-signing-guide.md; docs/operations/deployment-and-access.md; docs/operations/cutover-readiness.md</x:v>
      </x:c>
      <x:c r="G71" s="19" t="str">
        <x:v>Release docs; manual owner test records</x:v>
      </x:c>
      <x:c r="H71" s="22" t="str">
        <x:v>Manual owner test</x:v>
      </x:c>
      <x:c r="I71" s="22" t="str">
        <x:v>Manual owner test</x:v>
      </x:c>
      <x:c r="J71" s="22" t="str"/>
      <x:c r="K71" s="22" t="str">
        <x:v>Not needed</x:v>
      </x:c>
      <x:c r="L71" s="22" t="str">
        <x:v>Manual owner test</x:v>
      </x:c>
      <x:c r="M71" s="19" t="str"/>
    </x:row>
  </x:sheetData>
  <x:mergeCells>
    <x:mergeCell ref="A1:M1"/>
    <x:mergeCell ref="A2:M2"/>
  </x:mergeCells>
  <x:dataValidations count="4">
    <x:dataValidation type="list" sqref="H5:H253">
      <x:formula1>"Ready for test,Existing automated coverage,Validated,Issue found,Fixed,Retest passed,Manual owner test,Blocked by access,Not in beta scope"</x:formula1>
    </x:dataValidation>
    <x:dataValidation type="list" sqref="I5:I253">
      <x:formula1>"Not run,Existing automated coverage,Passed,Failed,Manual owner test,Blocked by access,Skipped by accepted gate"</x:formula1>
    </x:dataValidation>
    <x:dataValidation type="list" sqref="K5:K253">
      <x:formula1>"Not needed,Needs triage,In progress,Fixed,Deferred,Blocked by access"</x:formula1>
    </x:dataValidation>
    <x:dataValidation type="list" sqref="L5:L253">
      <x:formula1>"Not retested,Retest passed,Retest failed,Manual owner test,Blocked by access"</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10" hidden="0" customWidth="1"/>
    <x:col min="4" max="4" width="18" hidden="0" customWidth="1"/>
    <x:col min="5" max="5" width="54" hidden="0" customWidth="1"/>
    <x:col min="6" max="6" width="54" hidden="0" customWidth="1"/>
    <x:col min="7" max="7" width="54" hidden="0" customWidth="1"/>
    <x:col min="8" max="8" width="28" hidden="0" customWidth="1"/>
    <x:col min="9" max="9" width="18" hidden="0" customWidth="1"/>
    <x:col min="10" max="10" width="44" hidden="0" customWidth="1"/>
    <x:col min="11" max="11" width="32" hidden="0" customWidth="1"/>
    <x:col min="12" max="12" width="34" hidden="0" customWidth="1"/>
  </x:cols>
  <x:sheetData>
    <x:row r="1">
      <x:c r="A1" s="4" t="str">
        <x:v>Issue Log</x:v>
      </x:c>
      <x:c r="B1" s="4"/>
      <x:c r="C1" s="4"/>
      <x:c r="D1" s="4"/>
      <x:c r="E1" s="4"/>
      <x:c r="F1" s="4"/>
      <x:c r="G1" s="4"/>
      <x:c r="H1" s="4"/>
      <x:c r="I1" s="4"/>
      <x:c r="J1" s="4"/>
      <x:c r="K1" s="4"/>
      <x:c r="L1" s="4"/>
    </x:row>
    <x:row r="2">
      <x:c r="A2" s="7" t="str">
        <x:v>Document each failing user story here during the testing loop. Keep rows tied to Story ID and update status after fixes and retests.</x:v>
      </x:c>
      <x:c r="B2" s="7"/>
      <x:c r="C2" s="7"/>
      <x:c r="D2" s="7"/>
      <x:c r="E2" s="7"/>
      <x:c r="F2" s="7"/>
      <x:c r="G2" s="7"/>
      <x:c r="H2" s="7"/>
      <x:c r="I2" s="7"/>
      <x:c r="J2" s="7"/>
      <x:c r="K2" s="7"/>
      <x:c r="L2" s="7"/>
    </x:row>
    <x:row r="4">
      <x:c r="A4" s="27" t="str">
        <x:v>Issue ID</x:v>
      </x:c>
      <x:c r="B4" s="28" t="str">
        <x:v>Story ID</x:v>
      </x:c>
      <x:c r="C4" s="28" t="str">
        <x:v>Severity</x:v>
      </x:c>
      <x:c r="D4" s="28" t="str">
        <x:v>Surface</x:v>
      </x:c>
      <x:c r="E4" s="28" t="str">
        <x:v>Observed Error</x:v>
      </x:c>
      <x:c r="F4" s="28" t="str">
        <x:v>Expected Behavior</x:v>
      </x:c>
      <x:c r="G4" s="28" t="str">
        <x:v>Repro Steps</x:v>
      </x:c>
      <x:c r="H4" s="28" t="str">
        <x:v>Evidence/Test Run</x:v>
      </x:c>
      <x:c r="I4" s="28" t="str">
        <x:v>Status</x:v>
      </x:c>
      <x:c r="J4" s="28" t="str">
        <x:v>Fix Summary</x:v>
      </x:c>
      <x:c r="K4" s="28" t="str">
        <x:v>Retest Result</x:v>
      </x:c>
      <x:c r="L4" s="29" t="str">
        <x:v>Owner/Access Note</x:v>
      </x:c>
    </x:row>
    <x:row r="5" ht="84" customHeight="1">
      <x:c r="A5" s="17" t="str">
        <x:v>ISS-001</x:v>
      </x:c>
      <x:c r="B5" s="17" t="str">
        <x:v>US-064</x:v>
      </x:c>
      <x:c r="C5" s="17" t="str">
        <x:v>P3</x:v>
      </x:c>
      <x:c r="D5" s="17" t="str">
        <x:v>Windows shell</x:v>
      </x:c>
      <x:c r="E5" s="17" t="str">
        <x:v>apps/windows_shell/test/widget_test.dart expected retired 'Пока недоступно' copy and an unavailable WARP state, so the Windows shell test failed even though the current shared UI rendered the disabled connect action and WARP additional-protection tile correctly.</x:v>
      </x:c>
      <x:c r="F5" s="17" t="str">
        <x:v>Windows shell coverage should assert the current user-visible contract by stable keys and current copy: disabled primary connect action, home WARP tile, and 'Дополнительная защита'.</x:v>
      </x:c>
      <x:c r="G5" s="17" t="str">
        <x:v>Before the fix, run `flutter test` in apps/windows_shell.</x:v>
      </x:c>
      <x:c r="H5" s="17" t="str">
        <x:v>TR-004 initial run failed at widget_test.dart line 37; focused rerun passed after fix; aggregate scripts/run-tests.ps1 retest passed.</x:v>
      </x:c>
      <x:c r="I5" s="17" t="str">
        <x:v>Retest passed</x:v>
      </x:c>
      <x:c r="J5" s="17" t="str">
        <x:v>Updated the Windows shell test to assert the primary-connect-action descendant text 'Недоступно', the home-warp-tile key, and current 'Дополнительная защита' copy.</x:v>
      </x:c>
      <x:c r="K5" s="17" t="str">
        <x:v>`flutter test` in apps/windows_shell passed; post-fix aggregate `powershell -ExecutionPolicy Bypass -File .\scripts\run-tests.ps1` passed.</x:v>
      </x:c>
      <x:c r="L5" s="17" t="str">
        <x:v>No owner-only release gate required.</x:v>
      </x:c>
    </x:row>
    <x:row r="6">
      <x:c r="A6" s="18"/>
      <x:c r="B6" s="18"/>
      <x:c r="C6" s="18"/>
      <x:c r="D6" s="18"/>
      <x:c r="E6" s="18"/>
      <x:c r="F6" s="18"/>
      <x:c r="G6" s="18"/>
      <x:c r="H6" s="18"/>
      <x:c r="I6" s="18"/>
      <x:c r="J6" s="18"/>
      <x:c r="K6" s="18"/>
      <x:c r="L6" s="18"/>
    </x:row>
    <x:row r="7">
      <x:c r="A7" s="18"/>
      <x:c r="B7" s="18"/>
      <x:c r="C7" s="18"/>
      <x:c r="D7" s="18"/>
      <x:c r="E7" s="18"/>
      <x:c r="F7" s="18"/>
      <x:c r="G7" s="18"/>
      <x:c r="H7" s="18"/>
      <x:c r="I7" s="18"/>
      <x:c r="J7" s="18"/>
      <x:c r="K7" s="18"/>
      <x:c r="L7" s="18"/>
    </x:row>
    <x:row r="8">
      <x:c r="A8" s="18"/>
      <x:c r="B8" s="18"/>
      <x:c r="C8" s="18"/>
      <x:c r="D8" s="18"/>
      <x:c r="E8" s="18"/>
      <x:c r="F8" s="18"/>
      <x:c r="G8" s="18"/>
      <x:c r="H8" s="18"/>
      <x:c r="I8" s="18"/>
      <x:c r="J8" s="18"/>
      <x:c r="K8" s="18"/>
      <x:c r="L8" s="18"/>
    </x:row>
    <x:row r="9">
      <x:c r="A9" s="18"/>
      <x:c r="B9" s="18"/>
      <x:c r="C9" s="18"/>
      <x:c r="D9" s="18"/>
      <x:c r="E9" s="18"/>
      <x:c r="F9" s="18"/>
      <x:c r="G9" s="18"/>
      <x:c r="H9" s="18"/>
      <x:c r="I9" s="18"/>
      <x:c r="J9" s="18"/>
      <x:c r="K9" s="18"/>
      <x:c r="L9" s="18"/>
    </x:row>
    <x:row r="10">
      <x:c r="A10" s="18"/>
      <x:c r="B10" s="18"/>
      <x:c r="C10" s="18"/>
      <x:c r="D10" s="18"/>
      <x:c r="E10" s="18"/>
      <x:c r="F10" s="18"/>
      <x:c r="G10" s="18"/>
      <x:c r="H10" s="18"/>
      <x:c r="I10" s="18"/>
      <x:c r="J10" s="18"/>
      <x:c r="K10" s="18"/>
      <x:c r="L10" s="18"/>
    </x:row>
    <x:row r="11">
      <x:c r="A11" s="18"/>
      <x:c r="B11" s="18"/>
      <x:c r="C11" s="18"/>
      <x:c r="D11" s="18"/>
      <x:c r="E11" s="18"/>
      <x:c r="F11" s="18"/>
      <x:c r="G11" s="18"/>
      <x:c r="H11" s="18"/>
      <x:c r="I11" s="18"/>
      <x:c r="J11" s="18"/>
      <x:c r="K11" s="18"/>
      <x:c r="L11" s="18"/>
    </x:row>
    <x:row r="12">
      <x:c r="A12" s="18"/>
      <x:c r="B12" s="18"/>
      <x:c r="C12" s="18"/>
      <x:c r="D12" s="18"/>
      <x:c r="E12" s="18"/>
      <x:c r="F12" s="18"/>
      <x:c r="G12" s="18"/>
      <x:c r="H12" s="18"/>
      <x:c r="I12" s="18"/>
      <x:c r="J12" s="18"/>
      <x:c r="K12" s="18"/>
      <x:c r="L12" s="18"/>
    </x:row>
    <x:row r="13">
      <x:c r="A13" s="18"/>
      <x:c r="B13" s="18"/>
      <x:c r="C13" s="18"/>
      <x:c r="D13" s="18"/>
      <x:c r="E13" s="18"/>
      <x:c r="F13" s="18"/>
      <x:c r="G13" s="18"/>
      <x:c r="H13" s="18"/>
      <x:c r="I13" s="18"/>
      <x:c r="J13" s="18"/>
      <x:c r="K13" s="18"/>
      <x:c r="L13" s="18"/>
    </x:row>
    <x:row r="14">
      <x:c r="A14" s="18"/>
      <x:c r="B14" s="18"/>
      <x:c r="C14" s="18"/>
      <x:c r="D14" s="18"/>
      <x:c r="E14" s="18"/>
      <x:c r="F14" s="18"/>
      <x:c r="G14" s="18"/>
      <x:c r="H14" s="18"/>
      <x:c r="I14" s="18"/>
      <x:c r="J14" s="18"/>
      <x:c r="K14" s="18"/>
      <x:c r="L14" s="18"/>
    </x:row>
    <x:row r="15">
      <x:c r="A15" s="18"/>
      <x:c r="B15" s="18"/>
      <x:c r="C15" s="18"/>
      <x:c r="D15" s="18"/>
      <x:c r="E15" s="18"/>
      <x:c r="F15" s="18"/>
      <x:c r="G15" s="18"/>
      <x:c r="H15" s="18"/>
      <x:c r="I15" s="18"/>
      <x:c r="J15" s="18"/>
      <x:c r="K15" s="18"/>
      <x:c r="L15" s="18"/>
    </x:row>
    <x:row r="16">
      <x:c r="A16" s="18"/>
      <x:c r="B16" s="18"/>
      <x:c r="C16" s="18"/>
      <x:c r="D16" s="18"/>
      <x:c r="E16" s="18"/>
      <x:c r="F16" s="18"/>
      <x:c r="G16" s="18"/>
      <x:c r="H16" s="18"/>
      <x:c r="I16" s="18"/>
      <x:c r="J16" s="18"/>
      <x:c r="K16" s="18"/>
      <x:c r="L16" s="18"/>
    </x:row>
    <x:row r="17">
      <x:c r="A17" s="18"/>
      <x:c r="B17" s="18"/>
      <x:c r="C17" s="18"/>
      <x:c r="D17" s="18"/>
      <x:c r="E17" s="18"/>
      <x:c r="F17" s="18"/>
      <x:c r="G17" s="18"/>
      <x:c r="H17" s="18"/>
      <x:c r="I17" s="18"/>
      <x:c r="J17" s="18"/>
      <x:c r="K17" s="18"/>
      <x:c r="L17" s="18"/>
    </x:row>
    <x:row r="18">
      <x:c r="A18" s="18"/>
      <x:c r="B18" s="18"/>
      <x:c r="C18" s="18"/>
      <x:c r="D18" s="18"/>
      <x:c r="E18" s="18"/>
      <x:c r="F18" s="18"/>
      <x:c r="G18" s="18"/>
      <x:c r="H18" s="18"/>
      <x:c r="I18" s="18"/>
      <x:c r="J18" s="18"/>
      <x:c r="K18" s="18"/>
      <x:c r="L18" s="18"/>
    </x:row>
    <x:row r="19">
      <x:c r="A19" s="18"/>
      <x:c r="B19" s="18"/>
      <x:c r="C19" s="18"/>
      <x:c r="D19" s="18"/>
      <x:c r="E19" s="18"/>
      <x:c r="F19" s="18"/>
      <x:c r="G19" s="18"/>
      <x:c r="H19" s="18"/>
      <x:c r="I19" s="18"/>
      <x:c r="J19" s="18"/>
      <x:c r="K19" s="18"/>
      <x:c r="L19" s="18"/>
    </x:row>
    <x:row r="20">
      <x:c r="A20" s="18"/>
      <x:c r="B20" s="18"/>
      <x:c r="C20" s="18"/>
      <x:c r="D20" s="18"/>
      <x:c r="E20" s="18"/>
      <x:c r="F20" s="18"/>
      <x:c r="G20" s="18"/>
      <x:c r="H20" s="18"/>
      <x:c r="I20" s="18"/>
      <x:c r="J20" s="18"/>
      <x:c r="K20" s="18"/>
      <x:c r="L20" s="18"/>
    </x:row>
    <x:row r="21">
      <x:c r="A21" s="18"/>
      <x:c r="B21" s="18"/>
      <x:c r="C21" s="18"/>
      <x:c r="D21" s="18"/>
      <x:c r="E21" s="18"/>
      <x:c r="F21" s="18"/>
      <x:c r="G21" s="18"/>
      <x:c r="H21" s="18"/>
      <x:c r="I21" s="18"/>
      <x:c r="J21" s="18"/>
      <x:c r="K21" s="18"/>
      <x:c r="L21" s="18"/>
    </x:row>
    <x:row r="22">
      <x:c r="A22" s="18"/>
      <x:c r="B22" s="18"/>
      <x:c r="C22" s="18"/>
      <x:c r="D22" s="18"/>
      <x:c r="E22" s="18"/>
      <x:c r="F22" s="18"/>
      <x:c r="G22" s="18"/>
      <x:c r="H22" s="18"/>
      <x:c r="I22" s="18"/>
      <x:c r="J22" s="18"/>
      <x:c r="K22" s="18"/>
      <x:c r="L22" s="18"/>
    </x:row>
    <x:row r="23">
      <x:c r="A23" s="18"/>
      <x:c r="B23" s="18"/>
      <x:c r="C23" s="18"/>
      <x:c r="D23" s="18"/>
      <x:c r="E23" s="18"/>
      <x:c r="F23" s="18"/>
      <x:c r="G23" s="18"/>
      <x:c r="H23" s="18"/>
      <x:c r="I23" s="18"/>
      <x:c r="J23" s="18"/>
      <x:c r="K23" s="18"/>
      <x:c r="L23" s="18"/>
    </x:row>
    <x:row r="24">
      <x:c r="A24" s="18"/>
      <x:c r="B24" s="18"/>
      <x:c r="C24" s="18"/>
      <x:c r="D24" s="18"/>
      <x:c r="E24" s="18"/>
      <x:c r="F24" s="18"/>
      <x:c r="G24" s="18"/>
      <x:c r="H24" s="18"/>
      <x:c r="I24" s="18"/>
      <x:c r="J24" s="18"/>
      <x:c r="K24" s="18"/>
      <x:c r="L24" s="18"/>
    </x:row>
    <x:row r="25">
      <x:c r="A25" s="18"/>
      <x:c r="B25" s="18"/>
      <x:c r="C25" s="18"/>
      <x:c r="D25" s="18"/>
      <x:c r="E25" s="18"/>
      <x:c r="F25" s="18"/>
      <x:c r="G25" s="18"/>
      <x:c r="H25" s="18"/>
      <x:c r="I25" s="18"/>
      <x:c r="J25" s="18"/>
      <x:c r="K25" s="18"/>
      <x:c r="L25" s="18"/>
    </x:row>
    <x:row r="26">
      <x:c r="A26" s="18"/>
      <x:c r="B26" s="18"/>
      <x:c r="C26" s="18"/>
      <x:c r="D26" s="18"/>
      <x:c r="E26" s="18"/>
      <x:c r="F26" s="18"/>
      <x:c r="G26" s="18"/>
      <x:c r="H26" s="18"/>
      <x:c r="I26" s="18"/>
      <x:c r="J26" s="18"/>
      <x:c r="K26" s="18"/>
      <x:c r="L26" s="18"/>
    </x:row>
    <x:row r="27">
      <x:c r="A27" s="18"/>
      <x:c r="B27" s="18"/>
      <x:c r="C27" s="18"/>
      <x:c r="D27" s="18"/>
      <x:c r="E27" s="18"/>
      <x:c r="F27" s="18"/>
      <x:c r="G27" s="18"/>
      <x:c r="H27" s="18"/>
      <x:c r="I27" s="18"/>
      <x:c r="J27" s="18"/>
      <x:c r="K27" s="18"/>
      <x:c r="L27" s="18"/>
    </x:row>
    <x:row r="28">
      <x:c r="A28" s="18"/>
      <x:c r="B28" s="18"/>
      <x:c r="C28" s="18"/>
      <x:c r="D28" s="18"/>
      <x:c r="E28" s="18"/>
      <x:c r="F28" s="18"/>
      <x:c r="G28" s="18"/>
      <x:c r="H28" s="18"/>
      <x:c r="I28" s="18"/>
      <x:c r="J28" s="18"/>
      <x:c r="K28" s="18"/>
      <x:c r="L28" s="18"/>
    </x:row>
    <x:row r="29">
      <x:c r="A29" s="18"/>
      <x:c r="B29" s="18"/>
      <x:c r="C29" s="18"/>
      <x:c r="D29" s="18"/>
      <x:c r="E29" s="18"/>
      <x:c r="F29" s="18"/>
      <x:c r="G29" s="18"/>
      <x:c r="H29" s="18"/>
      <x:c r="I29" s="18"/>
      <x:c r="J29" s="18"/>
      <x:c r="K29" s="18"/>
      <x:c r="L29" s="18"/>
    </x:row>
    <x:row r="30">
      <x:c r="A30" s="18"/>
      <x:c r="B30" s="18"/>
      <x:c r="C30" s="18"/>
      <x:c r="D30" s="18"/>
      <x:c r="E30" s="18"/>
      <x:c r="F30" s="18"/>
      <x:c r="G30" s="18"/>
      <x:c r="H30" s="18"/>
      <x:c r="I30" s="18"/>
      <x:c r="J30" s="18"/>
      <x:c r="K30" s="18"/>
      <x:c r="L30" s="18"/>
    </x:row>
    <x:row r="31">
      <x:c r="A31" s="18"/>
      <x:c r="B31" s="18"/>
      <x:c r="C31" s="18"/>
      <x:c r="D31" s="18"/>
      <x:c r="E31" s="18"/>
      <x:c r="F31" s="18"/>
      <x:c r="G31" s="18"/>
      <x:c r="H31" s="18"/>
      <x:c r="I31" s="18"/>
      <x:c r="J31" s="18"/>
      <x:c r="K31" s="18"/>
      <x:c r="L31" s="18"/>
    </x:row>
    <x:row r="32">
      <x:c r="A32" s="18"/>
      <x:c r="B32" s="18"/>
      <x:c r="C32" s="18"/>
      <x:c r="D32" s="18"/>
      <x:c r="E32" s="18"/>
      <x:c r="F32" s="18"/>
      <x:c r="G32" s="18"/>
      <x:c r="H32" s="18"/>
      <x:c r="I32" s="18"/>
      <x:c r="J32" s="18"/>
      <x:c r="K32" s="18"/>
      <x:c r="L32" s="18"/>
    </x:row>
    <x:row r="33">
      <x:c r="A33" s="18"/>
      <x:c r="B33" s="18"/>
      <x:c r="C33" s="18"/>
      <x:c r="D33" s="18"/>
      <x:c r="E33" s="18"/>
      <x:c r="F33" s="18"/>
      <x:c r="G33" s="18"/>
      <x:c r="H33" s="18"/>
      <x:c r="I33" s="18"/>
      <x:c r="J33" s="18"/>
      <x:c r="K33" s="18"/>
      <x:c r="L33" s="18"/>
    </x:row>
    <x:row r="34">
      <x:c r="A34" s="18"/>
      <x:c r="B34" s="18"/>
      <x:c r="C34" s="18"/>
      <x:c r="D34" s="18"/>
      <x:c r="E34" s="18"/>
      <x:c r="F34" s="18"/>
      <x:c r="G34" s="18"/>
      <x:c r="H34" s="18"/>
      <x:c r="I34" s="18"/>
      <x:c r="J34" s="18"/>
      <x:c r="K34" s="18"/>
      <x:c r="L34" s="18"/>
    </x:row>
    <x:row r="35">
      <x:c r="A35" s="18"/>
      <x:c r="B35" s="18"/>
      <x:c r="C35" s="18"/>
      <x:c r="D35" s="18"/>
      <x:c r="E35" s="18"/>
      <x:c r="F35" s="18"/>
      <x:c r="G35" s="18"/>
      <x:c r="H35" s="18"/>
      <x:c r="I35" s="18"/>
      <x:c r="J35" s="18"/>
      <x:c r="K35" s="18"/>
      <x:c r="L35" s="18"/>
    </x:row>
    <x:row r="36">
      <x:c r="A36" s="18"/>
      <x:c r="B36" s="18"/>
      <x:c r="C36" s="18"/>
      <x:c r="D36" s="18"/>
      <x:c r="E36" s="18"/>
      <x:c r="F36" s="18"/>
      <x:c r="G36" s="18"/>
      <x:c r="H36" s="18"/>
      <x:c r="I36" s="18"/>
      <x:c r="J36" s="18"/>
      <x:c r="K36" s="18"/>
      <x:c r="L36" s="18"/>
    </x:row>
    <x:row r="37">
      <x:c r="A37" s="18"/>
      <x:c r="B37" s="18"/>
      <x:c r="C37" s="18"/>
      <x:c r="D37" s="18"/>
      <x:c r="E37" s="18"/>
      <x:c r="F37" s="18"/>
      <x:c r="G37" s="18"/>
      <x:c r="H37" s="18"/>
      <x:c r="I37" s="18"/>
      <x:c r="J37" s="18"/>
      <x:c r="K37" s="18"/>
      <x:c r="L37" s="18"/>
    </x:row>
    <x:row r="38">
      <x:c r="A38" s="18"/>
      <x:c r="B38" s="18"/>
      <x:c r="C38" s="18"/>
      <x:c r="D38" s="18"/>
      <x:c r="E38" s="18"/>
      <x:c r="F38" s="18"/>
      <x:c r="G38" s="18"/>
      <x:c r="H38" s="18"/>
      <x:c r="I38" s="18"/>
      <x:c r="J38" s="18"/>
      <x:c r="K38" s="18"/>
      <x:c r="L38" s="18"/>
    </x:row>
    <x:row r="39">
      <x:c r="A39" s="18"/>
      <x:c r="B39" s="18"/>
      <x:c r="C39" s="18"/>
      <x:c r="D39" s="18"/>
      <x:c r="E39" s="18"/>
      <x:c r="F39" s="18"/>
      <x:c r="G39" s="18"/>
      <x:c r="H39" s="18"/>
      <x:c r="I39" s="18"/>
      <x:c r="J39" s="18"/>
      <x:c r="K39" s="18"/>
      <x:c r="L39" s="18"/>
    </x:row>
    <x:row r="40">
      <x:c r="A40" s="18"/>
      <x:c r="B40" s="18"/>
      <x:c r="C40" s="18"/>
      <x:c r="D40" s="18"/>
      <x:c r="E40" s="18"/>
      <x:c r="F40" s="18"/>
      <x:c r="G40" s="18"/>
      <x:c r="H40" s="18"/>
      <x:c r="I40" s="18"/>
      <x:c r="J40" s="18"/>
      <x:c r="K40" s="18"/>
      <x:c r="L40" s="18"/>
    </x:row>
    <x:row r="41">
      <x:c r="A41" s="18"/>
      <x:c r="B41" s="18"/>
      <x:c r="C41" s="18"/>
      <x:c r="D41" s="18"/>
      <x:c r="E41" s="18"/>
      <x:c r="F41" s="18"/>
      <x:c r="G41" s="18"/>
      <x:c r="H41" s="18"/>
      <x:c r="I41" s="18"/>
      <x:c r="J41" s="18"/>
      <x:c r="K41" s="18"/>
      <x:c r="L41" s="18"/>
    </x:row>
    <x:row r="42">
      <x:c r="A42" s="18"/>
      <x:c r="B42" s="18"/>
      <x:c r="C42" s="18"/>
      <x:c r="D42" s="18"/>
      <x:c r="E42" s="18"/>
      <x:c r="F42" s="18"/>
      <x:c r="G42" s="18"/>
      <x:c r="H42" s="18"/>
      <x:c r="I42" s="18"/>
      <x:c r="J42" s="18"/>
      <x:c r="K42" s="18"/>
      <x:c r="L42" s="18"/>
    </x:row>
    <x:row r="43">
      <x:c r="A43" s="18"/>
      <x:c r="B43" s="18"/>
      <x:c r="C43" s="18"/>
      <x:c r="D43" s="18"/>
      <x:c r="E43" s="18"/>
      <x:c r="F43" s="18"/>
      <x:c r="G43" s="18"/>
      <x:c r="H43" s="18"/>
      <x:c r="I43" s="18"/>
      <x:c r="J43" s="18"/>
      <x:c r="K43" s="18"/>
      <x:c r="L43" s="18"/>
    </x:row>
    <x:row r="44">
      <x:c r="A44" s="18"/>
      <x:c r="B44" s="18"/>
      <x:c r="C44" s="18"/>
      <x:c r="D44" s="18"/>
      <x:c r="E44" s="18"/>
      <x:c r="F44" s="18"/>
      <x:c r="G44" s="18"/>
      <x:c r="H44" s="18"/>
      <x:c r="I44" s="18"/>
      <x:c r="J44" s="18"/>
      <x:c r="K44" s="18"/>
      <x:c r="L44" s="18"/>
    </x:row>
    <x:row r="45">
      <x:c r="A45" s="18"/>
      <x:c r="B45" s="18"/>
      <x:c r="C45" s="18"/>
      <x:c r="D45" s="18"/>
      <x:c r="E45" s="18"/>
      <x:c r="F45" s="18"/>
      <x:c r="G45" s="18"/>
      <x:c r="H45" s="18"/>
      <x:c r="I45" s="18"/>
      <x:c r="J45" s="18"/>
      <x:c r="K45" s="18"/>
      <x:c r="L45" s="18"/>
    </x:row>
    <x:row r="46">
      <x:c r="A46" s="18"/>
      <x:c r="B46" s="18"/>
      <x:c r="C46" s="18"/>
      <x:c r="D46" s="18"/>
      <x:c r="E46" s="18"/>
      <x:c r="F46" s="18"/>
      <x:c r="G46" s="18"/>
      <x:c r="H46" s="18"/>
      <x:c r="I46" s="18"/>
      <x:c r="J46" s="18"/>
      <x:c r="K46" s="18"/>
      <x:c r="L46" s="18"/>
    </x:row>
    <x:row r="47">
      <x:c r="A47" s="18"/>
      <x:c r="B47" s="18"/>
      <x:c r="C47" s="18"/>
      <x:c r="D47" s="18"/>
      <x:c r="E47" s="18"/>
      <x:c r="F47" s="18"/>
      <x:c r="G47" s="18"/>
      <x:c r="H47" s="18"/>
      <x:c r="I47" s="18"/>
      <x:c r="J47" s="18"/>
      <x:c r="K47" s="18"/>
      <x:c r="L47" s="18"/>
    </x:row>
    <x:row r="48">
      <x:c r="A48" s="18"/>
      <x:c r="B48" s="18"/>
      <x:c r="C48" s="18"/>
      <x:c r="D48" s="18"/>
      <x:c r="E48" s="18"/>
      <x:c r="F48" s="18"/>
      <x:c r="G48" s="18"/>
      <x:c r="H48" s="18"/>
      <x:c r="I48" s="18"/>
      <x:c r="J48" s="18"/>
      <x:c r="K48" s="18"/>
      <x:c r="L48" s="18"/>
    </x:row>
    <x:row r="49">
      <x:c r="A49" s="18"/>
      <x:c r="B49" s="18"/>
      <x:c r="C49" s="18"/>
      <x:c r="D49" s="18"/>
      <x:c r="E49" s="18"/>
      <x:c r="F49" s="18"/>
      <x:c r="G49" s="18"/>
      <x:c r="H49" s="18"/>
      <x:c r="I49" s="18"/>
      <x:c r="J49" s="18"/>
      <x:c r="K49" s="18"/>
      <x:c r="L49" s="18"/>
    </x:row>
    <x:row r="50">
      <x:c r="A50" s="18"/>
      <x:c r="B50" s="18"/>
      <x:c r="C50" s="18"/>
      <x:c r="D50" s="18"/>
      <x:c r="E50" s="18"/>
      <x:c r="F50" s="18"/>
      <x:c r="G50" s="18"/>
      <x:c r="H50" s="18"/>
      <x:c r="I50" s="18"/>
      <x:c r="J50" s="18"/>
      <x:c r="K50" s="18"/>
      <x:c r="L50" s="18"/>
    </x:row>
    <x:row r="51">
      <x:c r="A51" s="18"/>
      <x:c r="B51" s="18"/>
      <x:c r="C51" s="18"/>
      <x:c r="D51" s="18"/>
      <x:c r="E51" s="18"/>
      <x:c r="F51" s="18"/>
      <x:c r="G51" s="18"/>
      <x:c r="H51" s="18"/>
      <x:c r="I51" s="18"/>
      <x:c r="J51" s="18"/>
      <x:c r="K51" s="18"/>
      <x:c r="L51" s="18"/>
    </x:row>
    <x:row r="52">
      <x:c r="A52" s="18"/>
      <x:c r="B52" s="18"/>
      <x:c r="C52" s="18"/>
      <x:c r="D52" s="18"/>
      <x:c r="E52" s="18"/>
      <x:c r="F52" s="18"/>
      <x:c r="G52" s="18"/>
      <x:c r="H52" s="18"/>
      <x:c r="I52" s="18"/>
      <x:c r="J52" s="18"/>
      <x:c r="K52" s="18"/>
      <x:c r="L52" s="18"/>
    </x:row>
    <x:row r="53">
      <x:c r="A53" s="18"/>
      <x:c r="B53" s="18"/>
      <x:c r="C53" s="18"/>
      <x:c r="D53" s="18"/>
      <x:c r="E53" s="18"/>
      <x:c r="F53" s="18"/>
      <x:c r="G53" s="18"/>
      <x:c r="H53" s="18"/>
      <x:c r="I53" s="18"/>
      <x:c r="J53" s="18"/>
      <x:c r="K53" s="18"/>
      <x:c r="L53" s="18"/>
    </x:row>
    <x:row r="54">
      <x:c r="A54" s="18"/>
      <x:c r="B54" s="18"/>
      <x:c r="C54" s="18"/>
      <x:c r="D54" s="18"/>
      <x:c r="E54" s="18"/>
      <x:c r="F54" s="18"/>
      <x:c r="G54" s="18"/>
      <x:c r="H54" s="18"/>
      <x:c r="I54" s="18"/>
      <x:c r="J54" s="18"/>
      <x:c r="K54" s="18"/>
      <x:c r="L54" s="18"/>
    </x:row>
    <x:row r="55">
      <x:c r="A55" s="18"/>
      <x:c r="B55" s="18"/>
      <x:c r="C55" s="18"/>
      <x:c r="D55" s="18"/>
      <x:c r="E55" s="18"/>
      <x:c r="F55" s="18"/>
      <x:c r="G55" s="18"/>
      <x:c r="H55" s="18"/>
      <x:c r="I55" s="18"/>
      <x:c r="J55" s="18"/>
      <x:c r="K55" s="18"/>
      <x:c r="L55" s="18"/>
    </x:row>
    <x:row r="56">
      <x:c r="A56" s="18"/>
      <x:c r="B56" s="18"/>
      <x:c r="C56" s="18"/>
      <x:c r="D56" s="18"/>
      <x:c r="E56" s="18"/>
      <x:c r="F56" s="18"/>
      <x:c r="G56" s="18"/>
      <x:c r="H56" s="18"/>
      <x:c r="I56" s="18"/>
      <x:c r="J56" s="18"/>
      <x:c r="K56" s="18"/>
      <x:c r="L56" s="18"/>
    </x:row>
    <x:row r="57">
      <x:c r="A57" s="18"/>
      <x:c r="B57" s="18"/>
      <x:c r="C57" s="18"/>
      <x:c r="D57" s="18"/>
      <x:c r="E57" s="18"/>
      <x:c r="F57" s="18"/>
      <x:c r="G57" s="18"/>
      <x:c r="H57" s="18"/>
      <x:c r="I57" s="18"/>
      <x:c r="J57" s="18"/>
      <x:c r="K57" s="18"/>
      <x:c r="L57" s="18"/>
    </x:row>
    <x:row r="58">
      <x:c r="A58" s="18"/>
      <x:c r="B58" s="18"/>
      <x:c r="C58" s="18"/>
      <x:c r="D58" s="18"/>
      <x:c r="E58" s="18"/>
      <x:c r="F58" s="18"/>
      <x:c r="G58" s="18"/>
      <x:c r="H58" s="18"/>
      <x:c r="I58" s="18"/>
      <x:c r="J58" s="18"/>
      <x:c r="K58" s="18"/>
      <x:c r="L58" s="18"/>
    </x:row>
    <x:row r="59">
      <x:c r="A59" s="18"/>
      <x:c r="B59" s="18"/>
      <x:c r="C59" s="18"/>
      <x:c r="D59" s="18"/>
      <x:c r="E59" s="18"/>
      <x:c r="F59" s="18"/>
      <x:c r="G59" s="18"/>
      <x:c r="H59" s="18"/>
      <x:c r="I59" s="18"/>
      <x:c r="J59" s="18"/>
      <x:c r="K59" s="18"/>
      <x:c r="L59" s="18"/>
    </x:row>
    <x:row r="60">
      <x:c r="A60" s="18"/>
      <x:c r="B60" s="18"/>
      <x:c r="C60" s="18"/>
      <x:c r="D60" s="18"/>
      <x:c r="E60" s="18"/>
      <x:c r="F60" s="18"/>
      <x:c r="G60" s="18"/>
      <x:c r="H60" s="18"/>
      <x:c r="I60" s="18"/>
      <x:c r="J60" s="18"/>
      <x:c r="K60" s="18"/>
      <x:c r="L60" s="18"/>
    </x:row>
    <x:row r="61">
      <x:c r="A61" s="18"/>
      <x:c r="B61" s="18"/>
      <x:c r="C61" s="18"/>
      <x:c r="D61" s="18"/>
      <x:c r="E61" s="18"/>
      <x:c r="F61" s="18"/>
      <x:c r="G61" s="18"/>
      <x:c r="H61" s="18"/>
      <x:c r="I61" s="18"/>
      <x:c r="J61" s="18"/>
      <x:c r="K61" s="18"/>
      <x:c r="L61" s="18"/>
    </x:row>
    <x:row r="62">
      <x:c r="A62" s="18"/>
      <x:c r="B62" s="18"/>
      <x:c r="C62" s="18"/>
      <x:c r="D62" s="18"/>
      <x:c r="E62" s="18"/>
      <x:c r="F62" s="18"/>
      <x:c r="G62" s="18"/>
      <x:c r="H62" s="18"/>
      <x:c r="I62" s="18"/>
      <x:c r="J62" s="18"/>
      <x:c r="K62" s="18"/>
      <x:c r="L62" s="18"/>
    </x:row>
    <x:row r="63">
      <x:c r="A63" s="18"/>
      <x:c r="B63" s="18"/>
      <x:c r="C63" s="18"/>
      <x:c r="D63" s="18"/>
      <x:c r="E63" s="18"/>
      <x:c r="F63" s="18"/>
      <x:c r="G63" s="18"/>
      <x:c r="H63" s="18"/>
      <x:c r="I63" s="18"/>
      <x:c r="J63" s="18"/>
      <x:c r="K63" s="18"/>
      <x:c r="L63" s="18"/>
    </x:row>
    <x:row r="64">
      <x:c r="A64" s="18"/>
      <x:c r="B64" s="18"/>
      <x:c r="C64" s="18"/>
      <x:c r="D64" s="18"/>
      <x:c r="E64" s="18"/>
      <x:c r="F64" s="18"/>
      <x:c r="G64" s="18"/>
      <x:c r="H64" s="18"/>
      <x:c r="I64" s="18"/>
      <x:c r="J64" s="18"/>
      <x:c r="K64" s="18"/>
      <x:c r="L64" s="18"/>
    </x:row>
    <x:row r="65">
      <x:c r="A65" s="18"/>
      <x:c r="B65" s="18"/>
      <x:c r="C65" s="18"/>
      <x:c r="D65" s="18"/>
      <x:c r="E65" s="18"/>
      <x:c r="F65" s="18"/>
      <x:c r="G65" s="18"/>
      <x:c r="H65" s="18"/>
      <x:c r="I65" s="18"/>
      <x:c r="J65" s="18"/>
      <x:c r="K65" s="18"/>
      <x:c r="L65" s="18"/>
    </x:row>
    <x:row r="66">
      <x:c r="A66" s="18"/>
      <x:c r="B66" s="18"/>
      <x:c r="C66" s="18"/>
      <x:c r="D66" s="18"/>
      <x:c r="E66" s="18"/>
      <x:c r="F66" s="18"/>
      <x:c r="G66" s="18"/>
      <x:c r="H66" s="18"/>
      <x:c r="I66" s="18"/>
      <x:c r="J66" s="18"/>
      <x:c r="K66" s="18"/>
      <x:c r="L66" s="18"/>
    </x:row>
    <x:row r="67">
      <x:c r="A67" s="18"/>
      <x:c r="B67" s="18"/>
      <x:c r="C67" s="18"/>
      <x:c r="D67" s="18"/>
      <x:c r="E67" s="18"/>
      <x:c r="F67" s="18"/>
      <x:c r="G67" s="18"/>
      <x:c r="H67" s="18"/>
      <x:c r="I67" s="18"/>
      <x:c r="J67" s="18"/>
      <x:c r="K67" s="18"/>
      <x:c r="L67" s="18"/>
    </x:row>
    <x:row r="68">
      <x:c r="A68" s="18"/>
      <x:c r="B68" s="18"/>
      <x:c r="C68" s="18"/>
      <x:c r="D68" s="18"/>
      <x:c r="E68" s="18"/>
      <x:c r="F68" s="18"/>
      <x:c r="G68" s="18"/>
      <x:c r="H68" s="18"/>
      <x:c r="I68" s="18"/>
      <x:c r="J68" s="18"/>
      <x:c r="K68" s="18"/>
      <x:c r="L68" s="18"/>
    </x:row>
    <x:row r="69">
      <x:c r="A69" s="18"/>
      <x:c r="B69" s="18"/>
      <x:c r="C69" s="18"/>
      <x:c r="D69" s="18"/>
      <x:c r="E69" s="18"/>
      <x:c r="F69" s="18"/>
      <x:c r="G69" s="18"/>
      <x:c r="H69" s="18"/>
      <x:c r="I69" s="18"/>
      <x:c r="J69" s="18"/>
      <x:c r="K69" s="18"/>
      <x:c r="L69" s="18"/>
    </x:row>
    <x:row r="70">
      <x:c r="A70" s="18"/>
      <x:c r="B70" s="18"/>
      <x:c r="C70" s="18"/>
      <x:c r="D70" s="18"/>
      <x:c r="E70" s="18"/>
      <x:c r="F70" s="18"/>
      <x:c r="G70" s="18"/>
      <x:c r="H70" s="18"/>
      <x:c r="I70" s="18"/>
      <x:c r="J70" s="18"/>
      <x:c r="K70" s="18"/>
      <x:c r="L70" s="18"/>
    </x:row>
    <x:row r="71">
      <x:c r="A71" s="18"/>
      <x:c r="B71" s="18"/>
      <x:c r="C71" s="18"/>
      <x:c r="D71" s="18"/>
      <x:c r="E71" s="18"/>
      <x:c r="F71" s="18"/>
      <x:c r="G71" s="18"/>
      <x:c r="H71" s="18"/>
      <x:c r="I71" s="18"/>
      <x:c r="J71" s="18"/>
      <x:c r="K71" s="18"/>
      <x:c r="L71" s="18"/>
    </x:row>
    <x:row r="72">
      <x:c r="A72" s="18"/>
      <x:c r="B72" s="18"/>
      <x:c r="C72" s="18"/>
      <x:c r="D72" s="18"/>
      <x:c r="E72" s="18"/>
      <x:c r="F72" s="18"/>
      <x:c r="G72" s="18"/>
      <x:c r="H72" s="18"/>
      <x:c r="I72" s="18"/>
      <x:c r="J72" s="18"/>
      <x:c r="K72" s="18"/>
      <x:c r="L72" s="18"/>
    </x:row>
    <x:row r="73">
      <x:c r="A73" s="18"/>
      <x:c r="B73" s="18"/>
      <x:c r="C73" s="18"/>
      <x:c r="D73" s="18"/>
      <x:c r="E73" s="18"/>
      <x:c r="F73" s="18"/>
      <x:c r="G73" s="18"/>
      <x:c r="H73" s="18"/>
      <x:c r="I73" s="18"/>
      <x:c r="J73" s="18"/>
      <x:c r="K73" s="18"/>
      <x:c r="L73" s="18"/>
    </x:row>
    <x:row r="74">
      <x:c r="A74" s="18"/>
      <x:c r="B74" s="18"/>
      <x:c r="C74" s="18"/>
      <x:c r="D74" s="18"/>
      <x:c r="E74" s="18"/>
      <x:c r="F74" s="18"/>
      <x:c r="G74" s="18"/>
      <x:c r="H74" s="18"/>
      <x:c r="I74" s="18"/>
      <x:c r="J74" s="18"/>
      <x:c r="K74" s="18"/>
      <x:c r="L74" s="18"/>
    </x:row>
    <x:row r="75">
      <x:c r="A75" s="18"/>
      <x:c r="B75" s="18"/>
      <x:c r="C75" s="18"/>
      <x:c r="D75" s="18"/>
      <x:c r="E75" s="18"/>
      <x:c r="F75" s="18"/>
      <x:c r="G75" s="18"/>
      <x:c r="H75" s="18"/>
      <x:c r="I75" s="18"/>
      <x:c r="J75" s="18"/>
      <x:c r="K75" s="18"/>
      <x:c r="L75" s="18"/>
    </x:row>
    <x:row r="76">
      <x:c r="A76" s="18"/>
      <x:c r="B76" s="18"/>
      <x:c r="C76" s="18"/>
      <x:c r="D76" s="18"/>
      <x:c r="E76" s="18"/>
      <x:c r="F76" s="18"/>
      <x:c r="G76" s="18"/>
      <x:c r="H76" s="18"/>
      <x:c r="I76" s="18"/>
      <x:c r="J76" s="18"/>
      <x:c r="K76" s="18"/>
      <x:c r="L76" s="18"/>
    </x:row>
    <x:row r="77">
      <x:c r="A77" s="18"/>
      <x:c r="B77" s="18"/>
      <x:c r="C77" s="18"/>
      <x:c r="D77" s="18"/>
      <x:c r="E77" s="18"/>
      <x:c r="F77" s="18"/>
      <x:c r="G77" s="18"/>
      <x:c r="H77" s="18"/>
      <x:c r="I77" s="18"/>
      <x:c r="J77" s="18"/>
      <x:c r="K77" s="18"/>
      <x:c r="L77" s="18"/>
    </x:row>
    <x:row r="78">
      <x:c r="A78" s="18"/>
      <x:c r="B78" s="18"/>
      <x:c r="C78" s="18"/>
      <x:c r="D78" s="18"/>
      <x:c r="E78" s="18"/>
      <x:c r="F78" s="18"/>
      <x:c r="G78" s="18"/>
      <x:c r="H78" s="18"/>
      <x:c r="I78" s="18"/>
      <x:c r="J78" s="18"/>
      <x:c r="K78" s="18"/>
      <x:c r="L78" s="18"/>
    </x:row>
    <x:row r="79">
      <x:c r="A79" s="18"/>
      <x:c r="B79" s="18"/>
      <x:c r="C79" s="18"/>
      <x:c r="D79" s="18"/>
      <x:c r="E79" s="18"/>
      <x:c r="F79" s="18"/>
      <x:c r="G79" s="18"/>
      <x:c r="H79" s="18"/>
      <x:c r="I79" s="18"/>
      <x:c r="J79" s="18"/>
      <x:c r="K79" s="18"/>
      <x:c r="L79" s="18"/>
    </x:row>
    <x:row r="80">
      <x:c r="A80" s="18"/>
      <x:c r="B80" s="18"/>
      <x:c r="C80" s="18"/>
      <x:c r="D80" s="18"/>
      <x:c r="E80" s="18"/>
      <x:c r="F80" s="18"/>
      <x:c r="G80" s="18"/>
      <x:c r="H80" s="18"/>
      <x:c r="I80" s="18"/>
      <x:c r="J80" s="18"/>
      <x:c r="K80" s="18"/>
      <x:c r="L80" s="18"/>
    </x:row>
    <x:row r="81">
      <x:c r="A81" s="18"/>
      <x:c r="B81" s="18"/>
      <x:c r="C81" s="18"/>
      <x:c r="D81" s="18"/>
      <x:c r="E81" s="18"/>
      <x:c r="F81" s="18"/>
      <x:c r="G81" s="18"/>
      <x:c r="H81" s="18"/>
      <x:c r="I81" s="18"/>
      <x:c r="J81" s="18"/>
      <x:c r="K81" s="18"/>
      <x:c r="L81" s="18"/>
    </x:row>
    <x:row r="82">
      <x:c r="A82" s="18"/>
      <x:c r="B82" s="18"/>
      <x:c r="C82" s="18"/>
      <x:c r="D82" s="18"/>
      <x:c r="E82" s="18"/>
      <x:c r="F82" s="18"/>
      <x:c r="G82" s="18"/>
      <x:c r="H82" s="18"/>
      <x:c r="I82" s="18"/>
      <x:c r="J82" s="18"/>
      <x:c r="K82" s="18"/>
      <x:c r="L82" s="18"/>
    </x:row>
    <x:row r="83">
      <x:c r="A83" s="18"/>
      <x:c r="B83" s="18"/>
      <x:c r="C83" s="18"/>
      <x:c r="D83" s="18"/>
      <x:c r="E83" s="18"/>
      <x:c r="F83" s="18"/>
      <x:c r="G83" s="18"/>
      <x:c r="H83" s="18"/>
      <x:c r="I83" s="18"/>
      <x:c r="J83" s="18"/>
      <x:c r="K83" s="18"/>
      <x:c r="L83" s="18"/>
    </x:row>
    <x:row r="84">
      <x:c r="A84" s="19"/>
      <x:c r="B84" s="19"/>
      <x:c r="C84" s="19"/>
      <x:c r="D84" s="19"/>
      <x:c r="E84" s="19"/>
      <x:c r="F84" s="19"/>
      <x:c r="G84" s="19"/>
      <x:c r="H84" s="19"/>
      <x:c r="I84" s="19"/>
      <x:c r="J84" s="19"/>
      <x:c r="K84" s="19"/>
      <x:c r="L84" s="19"/>
    </x:row>
  </x:sheetData>
  <x:mergeCells>
    <x:mergeCell ref="A1:L1"/>
    <x:mergeCell ref="A2:L2"/>
  </x:mergeCells>
  <x:dataValidations count="2">
    <x:dataValidation type="list" sqref="C5:C84">
      <x:formula1>"P0,P1,P2,P3"</x:formula1>
    </x:dataValidation>
    <x:dataValidation type="list" sqref="I5:I84">
      <x:formula1>"Open,Triaged,Fixed,Retest passed,Deferred,Manual owner test,Blocked by access"</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8" hidden="0" customWidth="1"/>
    <x:col min="3" max="3" width="44" hidden="0" customWidth="1"/>
    <x:col min="4" max="4" width="32" hidden="0" customWidth="1"/>
    <x:col min="5" max="5" width="20" hidden="0" customWidth="1"/>
    <x:col min="6" max="6" width="28" hidden="0" customWidth="1"/>
    <x:col min="7" max="7" width="54" hidden="0" customWidth="1"/>
    <x:col min="8" max="8" width="20" hidden="0" customWidth="1"/>
    <x:col min="9" max="9" width="20" hidden="0" customWidth="1"/>
  </x:cols>
  <x:sheetData>
    <x:row r="1">
      <x:c r="A1" s="4" t="str">
        <x:v>Test Runs</x:v>
      </x:c>
      <x:c r="B1" s="4"/>
      <x:c r="C1" s="4"/>
      <x:c r="D1" s="4"/>
      <x:c r="E1" s="4"/>
      <x:c r="F1" s="4"/>
      <x:c r="G1" s="4"/>
      <x:c r="H1" s="4"/>
      <x:c r="I1" s="4"/>
    </x:row>
    <x:row r="2">
      <x:c r="A2" s="7" t="str">
        <x:v>Planned and executed verification loops for the user-story tracker.</x:v>
      </x:c>
      <x:c r="B2" s="7"/>
      <x:c r="C2" s="7"/>
      <x:c r="D2" s="7"/>
      <x:c r="E2" s="7"/>
      <x:c r="F2" s="7"/>
      <x:c r="G2" s="7"/>
      <x:c r="H2" s="7"/>
      <x:c r="I2" s="7"/>
    </x:row>
    <x:row r="4">
      <x:c r="A4" s="35" t="str">
        <x:v>Run ID</x:v>
      </x:c>
      <x:c r="B4" s="36" t="str">
        <x:v>Scope</x:v>
      </x:c>
      <x:c r="C4" s="36" t="str">
        <x:v>Command</x:v>
      </x:c>
      <x:c r="D4" s="36" t="str">
        <x:v>Stories</x:v>
      </x:c>
      <x:c r="E4" s="36" t="str">
        <x:v>Status</x:v>
      </x:c>
      <x:c r="F4" s="36" t="str">
        <x:v>Result</x:v>
      </x:c>
      <x:c r="G4" s="36" t="str">
        <x:v>Notes</x:v>
      </x:c>
      <x:c r="H4" s="36" t="str">
        <x:v>Started At</x:v>
      </x:c>
      <x:c r="I4" s="37" t="str">
        <x:v>Finished At</x:v>
      </x:c>
    </x:row>
    <x:row r="5">
      <x:c r="A5" s="17" t="str">
        <x:v>TR-001</x:v>
      </x:c>
      <x:c r="B5" s="17" t="str">
        <x:v>packages/app_shell</x:v>
      </x:c>
      <x:c r="C5" s="17" t="str">
        <x:v>flutter test</x:v>
      </x:c>
      <x:c r="D5" s="17" t="str">
        <x:v>US-001..US-059, US-065..US-066</x:v>
      </x:c>
      <x:c r="E5" s="20" t="str">
        <x:v>Passed</x:v>
      </x:c>
      <x:c r="F5" s="17" t="str">
        <x:v>123 tests passed; post-fix aggregate retest passed.</x:v>
      </x:c>
      <x:c r="G5" s="17" t="str">
        <x:v>Widget, copy, design, WARP, support, rewards, route, and bootstrap-facing shell behavior.</x:v>
      </x:c>
      <x:c r="H5" s="17" t="str">
        <x:v>2026-06-26</x:v>
      </x:c>
      <x:c r="I5" s="17" t="str">
        <x:v>2026-06-26</x:v>
      </x:c>
    </x:row>
    <x:row r="6">
      <x:c r="A6" s="18" t="str">
        <x:v>TR-002</x:v>
      </x:c>
      <x:c r="B6" s="18" t="str">
        <x:v>packages/runtime_engine</x:v>
      </x:c>
      <x:c r="C6" s="18" t="str">
        <x:v>flutter test</x:v>
      </x:c>
      <x:c r="D6" s="18" t="str">
        <x:v>US-009..US-012, US-060..US-062</x:v>
      </x:c>
      <x:c r="E6" s="21" t="str">
        <x:v>Passed</x:v>
      </x:c>
      <x:c r="F6" s="18" t="str">
        <x:v>22 tests passed; post-fix aggregate retest passed.</x:v>
      </x:c>
      <x:c r="G6" s="18" t="str">
        <x:v>Mobile/desktop runtime contracts, diagnostics, WARP apply, live stats.</x:v>
      </x:c>
      <x:c r="H6" s="18" t="str">
        <x:v>2026-06-26</x:v>
      </x:c>
      <x:c r="I6" s="18" t="str">
        <x:v>2026-06-26</x:v>
      </x:c>
    </x:row>
    <x:row r="7">
      <x:c r="A7" s="18" t="str">
        <x:v>TR-003</x:v>
      </x:c>
      <x:c r="B7" s="18" t="str">
        <x:v>apps/android_shell</x:v>
      </x:c>
      <x:c r="C7" s="18" t="str">
        <x:v>flutter test</x:v>
      </x:c>
      <x:c r="D7" s="18" t="str">
        <x:v>US-060, US-063</x:v>
      </x:c>
      <x:c r="E7" s="21" t="str">
        <x:v>Passed</x:v>
      </x:c>
      <x:c r="F7" s="18" t="str">
        <x:v>4 tests passed; post-fix aggregate retest passed.</x:v>
      </x:c>
      <x:c r="G7" s="18" t="str">
        <x:v>Android shell boot and platform bridge tests.</x:v>
      </x:c>
      <x:c r="H7" s="18" t="str">
        <x:v>2026-06-26</x:v>
      </x:c>
      <x:c r="I7" s="18" t="str">
        <x:v>2026-06-26</x:v>
      </x:c>
    </x:row>
    <x:row r="8">
      <x:c r="A8" s="18" t="str">
        <x:v>TR-004</x:v>
      </x:c>
      <x:c r="B8" s="18" t="str">
        <x:v>apps/windows_shell</x:v>
      </x:c>
      <x:c r="C8" s="18" t="str">
        <x:v>flutter test</x:v>
      </x:c>
      <x:c r="D8" s="18" t="str">
        <x:v>US-061, US-064</x:v>
      </x:c>
      <x:c r="E8" s="21" t="str">
        <x:v>Passed</x:v>
      </x:c>
      <x:c r="F8" s="18" t="str">
        <x:v>Initial run failed with ISS-001; focused rerun passed with 2 tests; post-fix aggregate retest passed.</x:v>
      </x:c>
      <x:c r="G8" s="18" t="str">
        <x:v>Windows shell boot and unsigned beta release contract.</x:v>
      </x:c>
      <x:c r="H8" s="18" t="str">
        <x:v>2026-06-26</x:v>
      </x:c>
      <x:c r="I8" s="18" t="str">
        <x:v>2026-06-26</x:v>
      </x:c>
    </x:row>
    <x:row r="9">
      <x:c r="A9" s="18" t="str">
        <x:v>TR-005</x:v>
      </x:c>
      <x:c r="B9" s="18" t="str">
        <x:v>apps/android_shell/android</x:v>
      </x:c>
      <x:c r="C9" s="18" t="str">
        <x:v>.\gradlew.bat testDebugUnitTest</x:v>
      </x:c>
      <x:c r="D9" s="18" t="str">
        <x:v>US-063</x:v>
      </x:c>
      <x:c r="E9" s="21" t="str">
        <x:v>Passed</x:v>
      </x:c>
      <x:c r="F9" s="18" t="str">
        <x:v>Gradle BUILD SUCCESSFUL; 91 actionable tasks, 5 executed; post-fix aggregate retest passed.</x:v>
      </x:c>
      <x:c r="G9" s="18" t="str">
        <x:v>Native Android foreground service and manifest unit coverage.</x:v>
      </x:c>
      <x:c r="H9" s="18" t="str">
        <x:v>2026-06-26</x:v>
      </x:c>
      <x:c r="I9" s="18" t="str">
        <x:v>2026-06-26</x:v>
      </x:c>
    </x:row>
    <x:row r="10">
      <x:c r="A10" s="19" t="str">
        <x:v>TR-006</x:v>
      </x:c>
      <x:c r="B10" s="19" t="str">
        <x:v>Manual owner gates</x:v>
      </x:c>
      <x:c r="C10" s="19" t="str">
        <x:v>Owner physical Android install/connect, real Telegram, signing/store/payment/RU-origin checks as applicable</x:v>
      </x:c>
      <x:c r="D10" s="19" t="str">
        <x:v>US-067</x:v>
      </x:c>
      <x:c r="E10" s="22" t="str">
        <x:v>Manual owner test</x:v>
      </x:c>
      <x:c r="F10" s="19" t="str">
        <x:v>Not run by local agent</x:v>
      </x:c>
      <x:c r="G10" s="19" t="str">
        <x:v>Per repo policy, these are not blockers for the local docs/code audit unless explicitly requested.</x:v>
      </x:c>
      <x:c r="H10" s="19" t="str"/>
      <x:c r="I10" s="19" t="str"/>
    </x:row>
  </x:sheetData>
  <x:mergeCells>
    <x:mergeCell ref="A1:I1"/>
    <x:mergeCell ref="A2:I2"/>
  </x:mergeCells>
  <x:dataValidations count="1">
    <x:dataValidation type="list" sqref="E5:E104">
      <x:formula1>"Planned,Running,Passed,Failed,Partial,Manual owner test,Blocked by access"</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5" hidden="0" customWidth="1"/>
    <x:col min="4" max="4" width="28" hidden="0" customWidth="1"/>
    <x:col min="5" max="5" width="12" hidden="0" customWidth="1"/>
    <x:col min="6" max="6" width="5" hidden="0" customWidth="1"/>
    <x:col min="7" max="7" width="28" hidden="0" customWidth="1"/>
    <x:col min="8" max="8" width="14" hidden="0" customWidth="1"/>
  </x:cols>
  <x:sheetData>
    <x:row r="1">
      <x:c r="A1" s="4" t="str">
        <x:v>Status Summary</x:v>
      </x:c>
      <x:c r="B1" s="4"/>
      <x:c r="C1" s="4"/>
      <x:c r="D1" s="4"/>
      <x:c r="E1" s="4"/>
      <x:c r="F1" s="4"/>
      <x:c r="G1" s="4"/>
      <x:c r="H1" s="4"/>
    </x:row>
    <x:row r="2">
      <x:c r="A2" s="7" t="str">
        <x:v>Live counts are formula-driven from Feature Stories, Issue Log, and Test Runs. Edit the source sheets, not this summary.</x:v>
      </x:c>
      <x:c r="B2" s="7"/>
      <x:c r="C2" s="7"/>
      <x:c r="D2" s="7"/>
      <x:c r="E2" s="7"/>
      <x:c r="F2" s="7"/>
      <x:c r="G2" s="7"/>
      <x:c r="H2" s="7"/>
    </x:row>
    <x:row r="4">
      <x:c r="A4" s="12" t="str">
        <x:v>Story Current Status</x:v>
      </x:c>
      <x:c r="B4" s="14" t="str">
        <x:v>Count</x:v>
      </x:c>
      <x:c r="D4" s="12" t="str">
        <x:v>Story Test Status</x:v>
      </x:c>
      <x:c r="E4" s="14" t="str">
        <x:v>Count</x:v>
      </x:c>
      <x:c r="G4" s="39" t="str">
        <x:v>Metric</x:v>
      </x:c>
      <x:c r="H4" s="40" t="str">
        <x:v>Value</x:v>
      </x:c>
    </x:row>
    <x:row r="5">
      <x:c r="A5" s="17" t="str">
        <x:v>Ready for test</x:v>
      </x:c>
      <x:c r="B5" s="20" t="n">
        <x:f>COUNTIF('Feature Stories'!$H$5:$H$253,A5)</x:f>
        <x:v>0</x:v>
      </x:c>
      <x:c r="D5" s="17" t="str">
        <x:v>Not run</x:v>
      </x:c>
      <x:c r="E5" s="20" t="n">
        <x:f>COUNTIF('Feature Stories'!$I$5:$I$253,D5)</x:f>
        <x:v>0</x:v>
      </x:c>
      <x:c r="G5" s="17" t="str">
        <x:v>Total stories</x:v>
      </x:c>
      <x:c r="H5" s="20" t="n">
        <x:f>COUNTA('Feature Stories'!$A$5:$A$253)</x:f>
        <x:v>67</x:v>
      </x:c>
    </x:row>
    <x:row r="6">
      <x:c r="A6" s="18" t="str">
        <x:v>Existing automated coverage</x:v>
      </x:c>
      <x:c r="B6" s="21" t="n">
        <x:f>COUNTIF('Feature Stories'!$H$5:$H$253,A6)</x:f>
        <x:v>0</x:v>
      </x:c>
      <x:c r="D6" s="18" t="str">
        <x:v>Existing automated coverage</x:v>
      </x:c>
      <x:c r="E6" s="21" t="n">
        <x:f>COUNTIF('Feature Stories'!$I$5:$I$253,D6)</x:f>
        <x:v>0</x:v>
      </x:c>
      <x:c r="G6" s="18" t="str">
        <x:v>Issues logged</x:v>
      </x:c>
      <x:c r="H6" s="21" t="n">
        <x:f>COUNTA('Issue Log'!$A$5:$A$84)</x:f>
        <x:v>1</x:v>
      </x:c>
    </x:row>
    <x:row r="7">
      <x:c r="A7" s="18" t="str">
        <x:v>Validated</x:v>
      </x:c>
      <x:c r="B7" s="21" t="n">
        <x:f>COUNTIF('Feature Stories'!$H$5:$H$253,A7)</x:f>
        <x:v>0</x:v>
      </x:c>
      <x:c r="D7" s="18" t="str">
        <x:v>Passed</x:v>
      </x:c>
      <x:c r="E7" s="21" t="n">
        <x:f>COUNTIF('Feature Stories'!$I$5:$I$253,D7)</x:f>
        <x:v>66</x:v>
      </x:c>
      <x:c r="G7" s="18" t="str">
        <x:v>Test runs</x:v>
      </x:c>
      <x:c r="H7" s="21" t="n">
        <x:f>COUNTA('Test Runs'!$A$5:$A$104)</x:f>
        <x:v>6</x:v>
      </x:c>
    </x:row>
    <x:row r="8">
      <x:c r="A8" s="18" t="str">
        <x:v>Issue found</x:v>
      </x:c>
      <x:c r="B8" s="21" t="n">
        <x:f>COUNTIF('Feature Stories'!$H$5:$H$253,A8)</x:f>
        <x:v>0</x:v>
      </x:c>
      <x:c r="D8" s="18" t="str">
        <x:v>Failed</x:v>
      </x:c>
      <x:c r="E8" s="21" t="n">
        <x:f>COUNTIF('Feature Stories'!$I$5:$I$253,D8)</x:f>
        <x:v>0</x:v>
      </x:c>
      <x:c r="G8" s="18" t="str">
        <x:v>Manual owner stories</x:v>
      </x:c>
      <x:c r="H8" s="21" t="n">
        <x:f>COUNTIF('Feature Stories'!$H$5:$H$253,"Manual owner test")</x:f>
        <x:v>1</x:v>
      </x:c>
    </x:row>
    <x:row r="9">
      <x:c r="A9" s="18" t="str">
        <x:v>Fixed</x:v>
      </x:c>
      <x:c r="B9" s="21" t="n">
        <x:f>COUNTIF('Feature Stories'!$H$5:$H$253,A9)</x:f>
        <x:v>0</x:v>
      </x:c>
      <x:c r="D9" s="18" t="str">
        <x:v>Manual owner test</x:v>
      </x:c>
      <x:c r="E9" s="21" t="n">
        <x:f>COUNTIF('Feature Stories'!$I$5:$I$253,D9)</x:f>
        <x:v>1</x:v>
      </x:c>
      <x:c r="G9" s="19" t="str">
        <x:v>Open issues</x:v>
      </x:c>
      <x:c r="H9" s="22" t="n">
        <x:f>COUNTIF('Issue Log'!$I$5:$I$84,"Open")</x:f>
        <x:v>0</x:v>
      </x:c>
    </x:row>
    <x:row r="10">
      <x:c r="A10" s="18" t="str">
        <x:v>Retest passed</x:v>
      </x:c>
      <x:c r="B10" s="21" t="n">
        <x:f>COUNTIF('Feature Stories'!$H$5:$H$253,A10)</x:f>
        <x:v>66</x:v>
      </x:c>
      <x:c r="D10" s="18" t="str">
        <x:v>Blocked by access</x:v>
      </x:c>
      <x:c r="E10" s="21" t="n">
        <x:f>COUNTIF('Feature Stories'!$I$5:$I$253,D10)</x:f>
        <x:v>0</x:v>
      </x:c>
    </x:row>
    <x:row r="11">
      <x:c r="A11" s="18" t="str">
        <x:v>Manual owner test</x:v>
      </x:c>
      <x:c r="B11" s="21" t="n">
        <x:f>COUNTIF('Feature Stories'!$H$5:$H$253,A11)</x:f>
        <x:v>1</x:v>
      </x:c>
      <x:c r="D11" s="18" t="str">
        <x:v>Skipped by accepted gate</x:v>
      </x:c>
      <x:c r="E11" s="21" t="n">
        <x:f>COUNTIF('Feature Stories'!$I$5:$I$253,D11)</x:f>
        <x:v>0</x:v>
      </x:c>
    </x:row>
    <x:row r="12">
      <x:c r="A12" s="18" t="str">
        <x:v>Blocked by access</x:v>
      </x:c>
      <x:c r="B12" s="21" t="n">
        <x:f>COUNTIF('Feature Stories'!$H$5:$H$253,A12)</x:f>
        <x:v>0</x:v>
      </x:c>
      <x:c r="D12" s="18"/>
      <x:c r="E12" s="21"/>
    </x:row>
    <x:row r="13">
      <x:c r="A13" s="18" t="str">
        <x:v>Not in beta scope</x:v>
      </x:c>
      <x:c r="B13" s="21" t="n">
        <x:f>COUNTIF('Feature Stories'!$H$5:$H$253,A13)</x:f>
        <x:v>0</x:v>
      </x:c>
      <x:c r="D13" s="18"/>
      <x:c r="E13" s="21"/>
    </x:row>
    <x:row r="14">
      <x:c r="A14" s="18"/>
      <x:c r="B14" s="21"/>
      <x:c r="D14" s="18"/>
      <x:c r="E14" s="21"/>
    </x:row>
    <x:row r="15">
      <x:c r="A15" s="18"/>
      <x:c r="B15" s="21"/>
      <x:c r="D15" s="18"/>
      <x:c r="E15" s="21"/>
    </x:row>
    <x:row r="16">
      <x:c r="A16" s="18"/>
      <x:c r="B16" s="21"/>
      <x:c r="D16" s="18"/>
      <x:c r="E16" s="21"/>
    </x:row>
    <x:row r="17">
      <x:c r="A17" s="43" t="str">
        <x:v>Issue Status</x:v>
      </x:c>
      <x:c r="B17" s="47" t="str">
        <x:v>Count</x:v>
      </x:c>
      <x:c r="D17" s="46" t="str">
        <x:v>Test Run Status</x:v>
      </x:c>
      <x:c r="E17" s="48" t="str">
        <x:v>Count</x:v>
      </x:c>
    </x:row>
    <x:row r="18">
      <x:c r="A18" s="18" t="str">
        <x:v>Open</x:v>
      </x:c>
      <x:c r="B18" s="21" t="n">
        <x:f>COUNTIF('Issue Log'!$I$5:$I$84,A18)</x:f>
        <x:v>0</x:v>
      </x:c>
      <x:c r="D18" s="18" t="str">
        <x:v>Planned</x:v>
      </x:c>
      <x:c r="E18" s="21" t="n">
        <x:f>COUNTIF('Test Runs'!$E$5:$E$104,D18)</x:f>
        <x:v>0</x:v>
      </x:c>
    </x:row>
    <x:row r="19">
      <x:c r="A19" s="18" t="str">
        <x:v>Triaged</x:v>
      </x:c>
      <x:c r="B19" s="21" t="n">
        <x:f>COUNTIF('Issue Log'!$I$5:$I$84,A19)</x:f>
        <x:v>0</x:v>
      </x:c>
      <x:c r="D19" s="18" t="str">
        <x:v>Running</x:v>
      </x:c>
      <x:c r="E19" s="21" t="n">
        <x:f>COUNTIF('Test Runs'!$E$5:$E$104,D19)</x:f>
        <x:v>0</x:v>
      </x:c>
    </x:row>
    <x:row r="20">
      <x:c r="A20" s="18" t="str">
        <x:v>Fixed</x:v>
      </x:c>
      <x:c r="B20" s="21" t="n">
        <x:f>COUNTIF('Issue Log'!$I$5:$I$84,A20)</x:f>
        <x:v>0</x:v>
      </x:c>
      <x:c r="D20" s="18" t="str">
        <x:v>Passed</x:v>
      </x:c>
      <x:c r="E20" s="21" t="n">
        <x:f>COUNTIF('Test Runs'!$E$5:$E$104,D20)</x:f>
        <x:v>5</x:v>
      </x:c>
    </x:row>
    <x:row r="21">
      <x:c r="A21" s="18" t="str">
        <x:v>Retest passed</x:v>
      </x:c>
      <x:c r="B21" s="21" t="n">
        <x:f>COUNTIF('Issue Log'!$I$5:$I$84,A21)</x:f>
        <x:v>1</x:v>
      </x:c>
      <x:c r="D21" s="18" t="str">
        <x:v>Failed</x:v>
      </x:c>
      <x:c r="E21" s="21" t="n">
        <x:f>COUNTIF('Test Runs'!$E$5:$E$104,D21)</x:f>
        <x:v>0</x:v>
      </x:c>
    </x:row>
    <x:row r="22">
      <x:c r="A22" s="18" t="str">
        <x:v>Deferred</x:v>
      </x:c>
      <x:c r="B22" s="21" t="n">
        <x:f>COUNTIF('Issue Log'!$I$5:$I$84,A22)</x:f>
        <x:v>0</x:v>
      </x:c>
      <x:c r="D22" s="18" t="str">
        <x:v>Partial</x:v>
      </x:c>
      <x:c r="E22" s="21" t="n">
        <x:f>COUNTIF('Test Runs'!$E$5:$E$104,D22)</x:f>
        <x:v>0</x:v>
      </x:c>
    </x:row>
    <x:row r="23">
      <x:c r="A23" s="18" t="str">
        <x:v>Manual owner test</x:v>
      </x:c>
      <x:c r="B23" s="21" t="n">
        <x:f>COUNTIF('Issue Log'!$I$5:$I$84,A23)</x:f>
        <x:v>0</x:v>
      </x:c>
      <x:c r="D23" s="18" t="str">
        <x:v>Manual owner test</x:v>
      </x:c>
      <x:c r="E23" s="21" t="n">
        <x:f>COUNTIF('Test Runs'!$E$5:$E$104,D23)</x:f>
        <x:v>1</x:v>
      </x:c>
    </x:row>
    <x:row r="24">
      <x:c r="A24" s="18" t="str">
        <x:v>Blocked by access</x:v>
      </x:c>
      <x:c r="B24" s="21" t="n">
        <x:f>COUNTIF('Issue Log'!$I$5:$I$84,A24)</x:f>
        <x:v>0</x:v>
      </x:c>
      <x:c r="D24" s="18" t="str">
        <x:v>Blocked by access</x:v>
      </x:c>
      <x:c r="E24" s="21" t="n">
        <x:f>COUNTIF('Test Runs'!$E$5:$E$104,D24)</x:f>
        <x:v>0</x:v>
      </x:c>
    </x:row>
    <x:row r="25">
      <x:c r="A25" s="19"/>
      <x:c r="B25" s="22"/>
      <x:c r="D25" s="19"/>
      <x:c r="E25" s="22"/>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75" hidden="0" customWidth="1"/>
    <x:col min="2" max="2" width="14.75" hidden="0" customWidth="1"/>
    <x:col min="3" max="3" width="22.5" hidden="0" customWidth="1"/>
    <x:col min="4" max="4" width="20" hidden="0" customWidth="1"/>
    <x:col min="5" max="5" width="26.25" hidden="0" customWidth="1"/>
    <x:col min="6" max="6" width="40" hidden="0" customWidth="1"/>
    <x:col min="7" max="7" width="17.5" hidden="0" customWidth="1"/>
    <x:col min="8" max="8" width="37.5" hidden="0" customWidth="1"/>
    <x:col min="9" max="9" width="20.6299991607666" hidden="0" customWidth="1"/>
    <x:col min="10" max="10" width="32.5" hidden="0" customWidth="1"/>
    <x:col min="11" max="11" width="32.5" hidden="0" customWidth="1"/>
    <x:col min="13" max="13" width="23.75" hidden="0" customWidth="1"/>
    <x:col min="14" max="14" width="8.75" hidden="0" customWidth="1"/>
  </x:cols>
  <x:sheetData>
    <x:row r="1">
      <x:c r="A1" s="85" t="str">
        <x:v>Cross-surface identity matrix</x:v>
      </x:c>
      <x:c r="B1" s="85"/>
      <x:c r="C1" s="85"/>
      <x:c r="D1" s="85"/>
      <x:c r="E1" s="85"/>
      <x:c r="F1" s="85"/>
      <x:c r="G1" s="85"/>
      <x:c r="H1" s="85"/>
      <x:c r="I1" s="85"/>
      <x:c r="J1" s="85"/>
      <x:c r="K1" s="85"/>
      <x:c r="M1" s="85" t="str">
        <x:v>Status count</x:v>
      </x:c>
      <x:c r="N1" s="85"/>
    </x:row>
    <x:row r="2">
      <x:c r="A2" s="89" t="str">
        <x:v>Tracks how app-first, Telegram, email, cabinet handoff, checkout, and activation-code paths should converge. Status reflects local code inspection plus focused automated coverage from 2026-06-27.</x:v>
      </x:c>
      <x:c r="B2" s="89"/>
      <x:c r="C2" s="89"/>
      <x:c r="D2" s="89"/>
      <x:c r="E2" s="89"/>
      <x:c r="F2" s="89"/>
      <x:c r="G2" s="89"/>
      <x:c r="H2" s="89"/>
      <x:c r="I2" s="89"/>
      <x:c r="J2" s="89"/>
      <x:c r="K2" s="89"/>
      <x:c r="M2" s="95" t="str">
        <x:v>PASS</x:v>
      </x:c>
      <x:c r="N2" s="61" t="n">
        <x:f>COUNTIF($I$6:$I$19,M2)</x:f>
        <x:v>7</x:v>
      </x:c>
    </x:row>
    <x:row r="3">
      <x:c r="A3" s="89"/>
      <x:c r="B3" s="89"/>
      <x:c r="C3" s="89"/>
      <x:c r="D3" s="89"/>
      <x:c r="E3" s="89"/>
      <x:c r="F3" s="89"/>
      <x:c r="G3" s="89"/>
      <x:c r="H3" s="89"/>
      <x:c r="I3" s="89"/>
      <x:c r="J3" s="89"/>
      <x:c r="K3" s="89"/>
      <x:c r="M3" s="95" t="str">
        <x:v>PASS_WITH_RISK</x:v>
      </x:c>
      <x:c r="N3" s="61" t="n">
        <x:f>COUNTIF($I$6:$I$19,M3)</x:f>
        <x:v>1</x:v>
      </x:c>
    </x:row>
    <x:row r="4">
      <x:c r="M4" s="95" t="str">
        <x:v>PARTIAL</x:v>
      </x:c>
      <x:c r="N4" s="61" t="n">
        <x:f>COUNTIF($I$6:$I$19,M4)</x:f>
        <x:v>3</x:v>
      </x:c>
    </x:row>
    <x:row r="5">
      <x:c r="A5" s="93" t="str">
        <x:v>Scenario ID</x:v>
      </x:c>
      <x:c r="B5" s="93" t="str">
        <x:v>Entry path</x:v>
      </x:c>
      <x:c r="C5" s="93" t="str">
        <x:v>Starting state</x:v>
      </x:c>
      <x:c r="D5" s="93" t="str">
        <x:v>Action</x:v>
      </x:c>
      <x:c r="E5" s="93" t="str">
        <x:v>Expected canonical account</x:v>
      </x:c>
      <x:c r="F5" s="93" t="str">
        <x:v>Backend behavior found</x:v>
      </x:c>
      <x:c r="G5" s="93" t="str">
        <x:v>Duplicate risk</x:v>
      </x:c>
      <x:c r="H5" s="93" t="str">
        <x:v>Coverage</x:v>
      </x:c>
      <x:c r="I5" s="93" t="str">
        <x:v>Status</x:v>
      </x:c>
      <x:c r="J5" s="93" t="str">
        <x:v>Manual check</x:v>
      </x:c>
      <x:c r="K5" s="93" t="str">
        <x:v>Next action</x:v>
      </x:c>
      <x:c r="M5" s="95" t="str">
        <x:v>UX_RISK</x:v>
      </x:c>
      <x:c r="N5" s="61" t="n">
        <x:f>COUNTIF($I$6:$I$19,M5)</x:f>
        <x:v>1</x:v>
      </x:c>
    </x:row>
    <x:row r="6" ht="61.5" customHeight="1">
      <x:c r="A6" s="59" t="str">
        <x:v>ID-001</x:v>
      </x:c>
      <x:c r="B6" s="60" t="str">
        <x:v>App first</x:v>
      </x:c>
      <x:c r="C6" s="60" t="str">
        <x:v>Fresh install, no Telegram/email</x:v>
      </x:c>
      <x:c r="D6" s="60" t="str">
        <x:v>Start trial in Flutter app</x:v>
      </x:c>
      <x:c r="E6" s="60" t="str">
        <x:v>One app-first account keyed by app_install_id</x:v>
      </x:c>
      <x:c r="F6" s="60" t="str">
        <x:v>/api/client/session/start-trial calls upsert_app_trial_user; synthetic account id &gt;= 9e12; same install_id is reused.</x:v>
      </x:c>
      <x:c r="G6" s="60" t="str">
        <x:v>Low</x:v>
      </x:c>
      <x:c r="H6" s="60" t="str">
        <x:v>Automated: portal_bot/tests/test_app_first_api.py::test_start_trial_returns_session_and_real_device_payload; ::test_start_trial_reuses_existing_install_id</x:v>
      </x:c>
      <x:c r="I6" s="60" t="str">
        <x:v>PASS</x:v>
      </x:c>
      <x:c r="J6" s="60" t="str">
        <x:v>Manual device install still needed for release candidate.</x:v>
      </x:c>
      <x:c r="K6" s="61" t="str">
        <x:v>Keep app as primary first-run identity root.</x:v>
      </x:c>
      <x:c r="M6" s="95" t="str">
        <x:v>MANUAL_OWNER_TEST</x:v>
      </x:c>
      <x:c r="N6" s="61" t="n">
        <x:f>COUNTIF($I$6:$I$19,M6)</x:f>
        <x:v>2</x:v>
      </x:c>
    </x:row>
    <x:row r="7" ht="61.5" customHeight="1">
      <x:c r="A7" s="59" t="str">
        <x:v>ID-002</x:v>
      </x:c>
      <x:c r="B7" s="60" t="str">
        <x:v>App repeat</x:v>
      </x:c>
      <x:c r="C7" s="60" t="str">
        <x:v>User reopens same installed app</x:v>
      </x:c>
      <x:c r="D7" s="60" t="str">
        <x:v>Start/resume session again</x:v>
      </x:c>
      <x:c r="E7" s="60" t="str">
        <x:v>Same account, device metadata refreshed</x:v>
      </x:c>
      <x:c r="F7" s="60" t="str">
        <x:v>Existing User is found by app_install_id and receives updated app device fields.</x:v>
      </x:c>
      <x:c r="G7" s="60" t="str">
        <x:v>Low</x:v>
      </x:c>
      <x:c r="H7" s="60" t="str">
        <x:v>Automated: test_start_trial_reuses_existing_install_id</x:v>
      </x:c>
      <x:c r="I7" s="60" t="str">
        <x:v>PASS</x:v>
      </x:c>
      <x:c r="J7" s="60" t="str">
        <x:v>Manual uninstall/reinstall behavior still product-dependent.</x:v>
      </x:c>
      <x:c r="K7" s="61" t="str">
        <x:v>If uninstall resets install_id, show recovery/link prompts.</x:v>
      </x:c>
      <x:c r="M7" s="95" t="str">
        <x:v>Total</x:v>
      </x:c>
      <x:c r="N7" s="61" t="n">
        <x:f>COUNTA($A$6:$A$19)</x:f>
        <x:v>14</x:v>
      </x:c>
    </x:row>
    <x:row r="8" ht="61.5" customHeight="1">
      <x:c r="A8" s="59" t="str">
        <x:v>ID-003</x:v>
      </x:c>
      <x:c r="B8" s="60" t="str">
        <x:v>App to web cabinet</x:v>
      </x:c>
      <x:c r="C8" s="60" t="str">
        <x:v>App account already exists</x:v>
      </x:c>
      <x:c r="D8" s="60" t="str">
        <x:v>Request cabinet handoff token and exchange in web</x:v>
      </x:c>
      <x:c r="E8" s="60" t="str">
        <x:v>Same app account becomes web cabinet session</x:v>
      </x:c>
      <x:c r="F8" s="60" t="str">
        <x:v>/api/client/cabinet-token creates a short cabinet_handoff token; /api/auth/cabinet-handoff/exchange returns a cabinet_session for the same user.</x:v>
      </x:c>
      <x:c r="G8" s="60" t="str">
        <x:v>Low</x:v>
      </x:c>
      <x:c r="H8" s="60" t="str">
        <x:v>Automated: portal_bot/tests/test_app_first_api.py cabinet-handoff cases</x:v>
      </x:c>
      <x:c r="I8" s="60" t="str">
        <x:v>PASS</x:v>
      </x:c>
      <x:c r="J8" s="60" t="str">
        <x:v>Browser/app deep-link smoke should be manual.</x:v>
      </x:c>
      <x:c r="K8" s="61" t="str">
        <x:v>Use this as the preferred route before linking email on the web.</x:v>
      </x:c>
    </x:row>
    <x:row r="9" ht="61.5" customHeight="1">
      <x:c r="A9" s="59" t="str">
        <x:v>ID-004</x:v>
      </x:c>
      <x:c r="B9" s="60" t="str">
        <x:v>App to email</x:v>
      </x:c>
      <x:c r="C9" s="60" t="str">
        <x:v>App account exists and request carries app/web session token</x:v>
      </x:c>
      <x:c r="D9" s="60" t="str">
        <x:v>Register and verify email</x:v>
      </x:c>
      <x:c r="E9" s="60" t="str">
        <x:v>Email identity links to the same app account</x:v>
      </x:c>
      <x:c r="F9" s="60" t="str">
        <x:v>/api/auth/email/register reads Authorization bearer via _optional_auth_user and passes current id as linked_tg_id.</x:v>
      </x:c>
      <x:c r="G9" s="60" t="str">
        <x:v>Low</x:v>
      </x:c>
      <x:c r="H9" s="60" t="str">
        <x:v>Automated: portal_bot/tests/test_email_auth.py::test_email_register_from_app_session_links_to_app_account</x:v>
      </x:c>
      <x:c r="I9" s="60" t="str">
        <x:v>PASS</x:v>
      </x:c>
      <x:c r="J9" s="60" t="str">
        <x:v>Email delivery itself remains external/live if not mocked.</x:v>
      </x:c>
      <x:c r="K9" s="61" t="str">
        <x:v>Keep settings copy as 'add email to current account'.</x:v>
      </x:c>
    </x:row>
    <x:row r="10" ht="61.5" customHeight="1">
      <x:c r="A10" s="59" t="str">
        <x:v>ID-005</x:v>
      </x:c>
      <x:c r="B10" s="60" t="str">
        <x:v>Anonymous email</x:v>
      </x:c>
      <x:c r="C10" s="60" t="str">
        <x:v>No app/web/Telegram session in request</x:v>
      </x:c>
      <x:c r="D10" s="60" t="str">
        <x:v>Register on public cabinet by email</x:v>
      </x:c>
      <x:c r="E10" s="60" t="str">
        <x:v>New email-first account is created</x:v>
      </x:c>
      <x:c r="F10" s="60" t="str">
        <x:v>ensure_email_account_user creates a synthetic account in the email range; backend cannot infer an existing app install without a session.</x:v>
      </x:c>
      <x:c r="G10" s="60" t="str">
        <x:v>High if user already started in app</x:v>
      </x:c>
      <x:c r="H10" s="60" t="str">
        <x:v>Automated: test_email_register_verify_login_and_session</x:v>
      </x:c>
      <x:c r="I10" s="60" t="str">
        <x:v>PASS_WITH_RISK</x:v>
      </x:c>
      <x:c r="J10" s="60" t="str">
        <x:v>Manual UX review needed on public login/register copy.</x:v>
      </x:c>
      <x:c r="K10" s="61" t="str">
        <x:v>UX copy added to public email registration; verify browser rendering.</x:v>
      </x:c>
    </x:row>
    <x:row r="11" ht="61.5" customHeight="1">
      <x:c r="A11" s="59" t="str">
        <x:v>ID-006</x:v>
      </x:c>
      <x:c r="B11" s="60" t="str">
        <x:v>Telegram web login</x:v>
      </x:c>
      <x:c r="C11" s="60" t="str">
        <x:v>User enters through Telegram Login Widget</x:v>
      </x:c>
      <x:c r="D11" s="60" t="str">
        <x:v>Authenticate web session</x:v>
      </x:c>
      <x:c r="E11" s="60" t="str">
        <x:v>Real Telegram user row/session</x:v>
      </x:c>
      <x:c r="F11" s="60" t="str">
        <x:v>/api/auth/telegram/web-login ensures a User row for the Telegram id and creates auth_origin=telegram session.</x:v>
      </x:c>
      <x:c r="G11" s="60" t="str">
        <x:v>Medium if user already has unlinked app account</x:v>
      </x:c>
      <x:c r="H11" s="60" t="str">
        <x:v>Code-inspected; Telegram widget/live auth is manual.</x:v>
      </x:c>
      <x:c r="I11" s="60" t="str">
        <x:v>MANUAL_OWNER_TEST</x:v>
      </x:c>
      <x:c r="J11" s="60" t="str">
        <x:v>Needs real Telegram login/widget smoke.</x:v>
      </x:c>
      <x:c r="K11" s="61" t="str">
        <x:v>Guide existing app users to app Telegram-link flow instead of starting a parallel web profile.</x:v>
      </x:c>
    </x:row>
    <x:row r="12" ht="61.5" customHeight="1">
      <x:c r="A12" s="59" t="str">
        <x:v>ID-007</x:v>
      </x:c>
      <x:c r="B12" s="60" t="str">
        <x:v>App to Telegram bot</x:v>
      </x:c>
      <x:c r="C12" s="60" t="str">
        <x:v>App account exists, Telegram not linked</x:v>
      </x:c>
      <x:c r="D12" s="60" t="str">
        <x:v>Open bot start link from app</x:v>
      </x:c>
      <x:c r="E12" s="60" t="str">
        <x:v>Same app account gains linked_telegram_id</x:v>
      </x:c>
      <x:c r="F12" s="60" t="str">
        <x:v>StartLink target_action app_link:&lt;account_id&gt;; bot binding rejects already-linked Telegram/account conflicts.</x:v>
      </x:c>
      <x:c r="G12" s="60" t="str">
        <x:v>Medium around conflict UX</x:v>
      </x:c>
      <x:c r="H12" s="60" t="str">
        <x:v>Automated adjacent: channel bonus uses linked Telegram; binding itself code-inspected.</x:v>
      </x:c>
      <x:c r="I12" s="60" t="str">
        <x:v>PARTIAL</x:v>
      </x:c>
      <x:c r="J12" s="60" t="str">
        <x:v>Needs live bot start-link path and conflict copy check.</x:v>
      </x:c>
      <x:c r="K12" s="61" t="str">
        <x:v>Add focused bot/service tests for telegram_already_linked and account_linked_elsewhere.</x:v>
      </x:c>
    </x:row>
    <x:row r="13" ht="61.5" customHeight="1">
      <x:c r="A13" s="59" t="str">
        <x:v>ID-008</x:v>
      </x:c>
      <x:c r="B13" s="60" t="str">
        <x:v>Telegram first then app</x:v>
      </x:c>
      <x:c r="C13" s="60" t="str">
        <x:v>Real Telegram user exists before app install</x:v>
      </x:c>
      <x:c r="D13" s="60" t="str">
        <x:v>User later starts app trial</x:v>
      </x:c>
      <x:c r="E13" s="60" t="str">
        <x:v>Should converge only through explicit app Telegram-link or support</x:v>
      </x:c>
      <x:c r="F13" s="60" t="str">
        <x:v>App creates install_id-based account; no automatic merge from real Telegram row unless user uses the linking flow.</x:v>
      </x:c>
      <x:c r="G13" s="60" t="str">
        <x:v>High if user treats both as same account</x:v>
      </x:c>
      <x:c r="H13" s="60" t="str">
        <x:v>Code-inspected.</x:v>
      </x:c>
      <x:c r="I13" s="60" t="str">
        <x:v>UX_RISK</x:v>
      </x:c>
      <x:c r="J13" s="60" t="str">
        <x:v>Manual path needed: Telegram user downloads app and links.</x:v>
      </x:c>
      <x:c r="K13" s="61" t="str">
        <x:v>App onboarding should surface 'already used Telegram?' path early.</x:v>
      </x:c>
    </x:row>
    <x:row r="14" ht="61.5" customHeight="1">
      <x:c r="A14" s="59" t="str">
        <x:v>ID-009</x:v>
      </x:c>
      <x:c r="B14" s="60" t="str">
        <x:v>Authenticated checkout</x:v>
      </x:c>
      <x:c r="C14" s="60" t="str">
        <x:v>User is in app/web/Telegram/email session</x:v>
      </x:c>
      <x:c r="D14" s="60" t="str">
        <x:v>Create paid order</x:v>
      </x:c>
      <x:c r="E14" s="60" t="str">
        <x:v>Payment extends the authenticated account</x:v>
      </x:c>
      <x:c r="F14" s="60" t="str">
        <x:v>/api/payments/orders/create requires auth user; bot checkout tickets encode tg_id for bound-user public checkout.</x:v>
      </x:c>
      <x:c r="G14" s="60" t="str">
        <x:v>Low</x:v>
      </x:c>
      <x:c r="H14" s="60" t="str">
        <x:v>Code-inspected; provider callback/live payment not run locally.</x:v>
      </x:c>
      <x:c r="I14" s="60" t="str">
        <x:v>PARTIAL</x:v>
      </x:c>
      <x:c r="J14" s="60" t="str">
        <x:v>Provider dashboard/live callback remains owner/manual.</x:v>
      </x:c>
      <x:c r="K14" s="61" t="str">
        <x:v>Keep bound-user checkout as the preferred path from app/cabinet/bot.</x:v>
      </x:c>
    </x:row>
    <x:row r="15" ht="61.5" customHeight="1">
      <x:c r="A15" s="59" t="str">
        <x:v>ID-010</x:v>
      </x:c>
      <x:c r="B15" s="60" t="str">
        <x:v>Anonymous public checkout</x:v>
      </x:c>
      <x:c r="C15" s="60" t="str">
        <x:v>No authenticated account</x:v>
      </x:c>
      <x:c r="D15" s="60" t="str">
        <x:v>Buy from site with buyer email</x:v>
      </x:c>
      <x:c r="E15" s="60" t="str">
        <x:v>Access key is emailed; access attaches only when redeemed by an authenticated account</x:v>
      </x:c>
      <x:c r="F15" s="60" t="str">
        <x:v>/api/payments/orders/create-public without checkout_ticket uses access_key_email fulfillment rather than guessing an account.</x:v>
      </x:c>
      <x:c r="G15" s="60" t="str">
        <x:v>High if user later logs into email cabinet separately instead of redeeming in app</x:v>
      </x:c>
      <x:c r="H15" s="60" t="str">
        <x:v>Code-inspected; live provider/email delivery manual.</x:v>
      </x:c>
      <x:c r="I15" s="60" t="str">
        <x:v>MANUAL_OWNER_TEST</x:v>
      </x:c>
      <x:c r="J15" s="60" t="str">
        <x:v>Needs public checkout -&gt; email key -&gt; app redeem golden path.</x:v>
      </x:c>
      <x:c r="K15" s="61" t="str">
        <x:v>Checkout copy now says the code extends the profile where it is activated; live checkout/email/redeem remains manual.</x:v>
      </x:c>
    </x:row>
    <x:row r="16" ht="61.5" customHeight="1">
      <x:c r="A16" s="59" t="str">
        <x:v>ID-011</x:v>
      </x:c>
      <x:c r="B16" s="60" t="str">
        <x:v>Redeem activation key</x:v>
      </x:c>
      <x:c r="C16" s="60" t="str">
        <x:v>User has app/web session and a code</x:v>
      </x:c>
      <x:c r="D16" s="60" t="str">
        <x:v>Redeem key in current session</x:v>
      </x:c>
      <x:c r="E16" s="60" t="str">
        <x:v>Current authenticated account is extended</x:v>
      </x:c>
      <x:c r="F16" s="60" t="str">
        <x:v>/api/redeem and /api/access-keys/redeem require auth; raw subscription/proxy links are rejected as account proof.</x:v>
      </x:c>
      <x:c r="G16" s="60" t="str">
        <x:v>Medium if user is signed into the wrong account</x:v>
      </x:c>
      <x:c r="H16" s="60" t="str">
        <x:v>Automated: app-first redeem and raw-link rejection tests in test_app_first_api.py</x:v>
      </x:c>
      <x:c r="I16" s="60" t="str">
        <x:v>PASS</x:v>
      </x:c>
      <x:c r="J16" s="60" t="str">
        <x:v>Manual user-facing wrong-account recovery/support path.</x:v>
      </x:c>
      <x:c r="K16" s="61" t="str">
        <x:v>Before redeem, show current account/email/Telegram context.</x:v>
      </x:c>
    </x:row>
    <x:row r="17" ht="61.5" customHeight="1">
      <x:c r="A17" s="59" t="str">
        <x:v>ID-012</x:v>
      </x:c>
      <x:c r="B17" s="60" t="str">
        <x:v>Duplicate email</x:v>
      </x:c>
      <x:c r="C17" s="60" t="str">
        <x:v>Verified email identity already exists</x:v>
      </x:c>
      <x:c r="D17" s="60" t="str">
        <x:v>Attempt to register same email again</x:v>
      </x:c>
      <x:c r="E17" s="60" t="str">
        <x:v>Registration is rejected</x:v>
      </x:c>
      <x:c r="F17" s="60" t="str">
        <x:v>register_email_identity raises duplicate for verified email_norm.</x:v>
      </x:c>
      <x:c r="G17" s="60" t="str">
        <x:v>Low</x:v>
      </x:c>
      <x:c r="H17" s="60" t="str">
        <x:v>Automated: test_email_register_rejects_duplicate_verified_identity</x:v>
      </x:c>
      <x:c r="I17" s="60" t="str">
        <x:v>PASS</x:v>
      </x:c>
      <x:c r="J17" s="60" t="str">
        <x:v>Manual copy should direct to login/recovery.</x:v>
      </x:c>
      <x:c r="K17" s="61" t="str">
        <x:v>Keep recovery route prominent.</x:v>
      </x:c>
    </x:row>
    <x:row r="18" ht="61.5" customHeight="1">
      <x:c r="A18" s="59" t="str">
        <x:v>ID-013</x:v>
      </x:c>
      <x:c r="B18" s="60" t="str">
        <x:v>Support/admin lookup</x:v>
      </x:c>
      <x:c r="C18" s="60" t="str">
        <x:v>User may have app, email, Telegram, checkout context</x:v>
      </x:c>
      <x:c r="D18" s="60" t="str">
        <x:v>Operator opens user profile/admin result</x:v>
      </x:c>
      <x:c r="E18" s="60" t="str">
        <x:v>Operator sees auth origin and linked identities</x:v>
      </x:c>
      <x:c r="F18" s="60" t="str">
        <x:v>Models/API expose auth_origin, linked email verification, linked Telegram id/username, install/device context.</x:v>
      </x:c>
      <x:c r="G18" s="60" t="str">
        <x:v>Medium if operator cannot see split accounts together</x:v>
      </x:c>
      <x:c r="H18" s="60" t="str">
        <x:v>Code/docs inspected; admin UI not fully E2E-tested here.</x:v>
      </x:c>
      <x:c r="I18" s="60" t="str">
        <x:v>PARTIAL</x:v>
      </x:c>
      <x:c r="J18" s="60" t="str">
        <x:v>Manual admin search: email, Telegram id, app account id, install/device context.</x:v>
      </x:c>
      <x:c r="K18" s="61" t="str">
        <x:v>Add a support playbook row for duplicate-account triage.</x:v>
      </x:c>
    </x:row>
    <x:row r="19" ht="61.5" customHeight="1">
      <x:c r="A19" s="59" t="str">
        <x:v>ID-014</x:v>
      </x:c>
      <x:c r="B19" s="60" t="str">
        <x:v>Email recovery</x:v>
      </x:c>
      <x:c r="C19" s="60" t="str">
        <x:v>Email identity is verified</x:v>
      </x:c>
      <x:c r="D19" s="60" t="str">
        <x:v>Recover password and login</x:v>
      </x:c>
      <x:c r="E19" s="60" t="str">
        <x:v>Recovered login returns same linked account</x:v>
      </x:c>
      <x:c r="F19" s="60" t="str">
        <x:v>Recovery token resolves WebEmailIdentity.linked_tg_id and creates auth_origin=email session.</x:v>
      </x:c>
      <x:c r="G19" s="60" t="str">
        <x:v>Low</x:v>
      </x:c>
      <x:c r="H19" s="60" t="str">
        <x:v>Automated: test_email_recovery_resets_password</x:v>
      </x:c>
      <x:c r="I19" s="60" t="str">
        <x:v>PASS</x:v>
      </x:c>
      <x:c r="J19" s="60" t="str">
        <x:v>Email delivery/live inbox manual.</x:v>
      </x:c>
      <x:c r="K19" s="61" t="str">
        <x:v>No merge should be offered from anonymous recovery unless identity is already linked.</x:v>
      </x:c>
    </x:row>
  </x:sheetData>
  <x:mergeCells>
    <x:mergeCell ref="A1:K1"/>
    <x:mergeCell ref="A2:K3"/>
    <x:mergeCell ref="M1:N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75" hidden="0" customWidth="1"/>
    <x:col min="2" max="2" width="42.5" hidden="0" customWidth="1"/>
    <x:col min="3" max="3" width="16.25" hidden="0" customWidth="1"/>
    <x:col min="4" max="4" width="11.25" hidden="0" customWidth="1"/>
    <x:col min="5" max="5" width="41.25" hidden="0" customWidth="1"/>
    <x:col min="6" max="6" width="41.25" hidden="0" customWidth="1"/>
    <x:col min="7" max="7" width="21.25" hidden="0" customWidth="1"/>
  </x:cols>
  <x:sheetData>
    <x:row r="1">
      <x:c r="A1" s="85" t="str">
        <x:v>Identity findings and follow-ups</x:v>
      </x:c>
      <x:c r="B1" s="85"/>
      <x:c r="C1" s="85"/>
      <x:c r="D1" s="85"/>
      <x:c r="E1" s="85"/>
      <x:c r="F1" s="85"/>
      <x:c r="G1" s="85"/>
    </x:row>
    <x:row r="2">
      <x:c r="A2" s="99" t="str">
        <x:v>This sheet is the live issue log for registration/linking confusion across app, site, Telegram bot, email auth, checkout, and support.</x:v>
      </x:c>
      <x:c r="B2" s="99"/>
      <x:c r="C2" s="99"/>
      <x:c r="D2" s="99"/>
      <x:c r="E2" s="99"/>
      <x:c r="F2" s="99"/>
      <x:c r="G2" s="99"/>
    </x:row>
    <x:row r="3">
      <x:c r="A3" s="99"/>
      <x:c r="B3" s="99"/>
      <x:c r="C3" s="99"/>
      <x:c r="D3" s="99"/>
      <x:c r="E3" s="99"/>
      <x:c r="F3" s="99"/>
      <x:c r="G3" s="99"/>
    </x:row>
    <x:row r="5">
      <x:c r="A5" s="93" t="str">
        <x:v>Finding ID</x:v>
      </x:c>
      <x:c r="B5" s="93" t="str">
        <x:v>Finding</x:v>
      </x:c>
      <x:c r="C5" s="93" t="str">
        <x:v>Type</x:v>
      </x:c>
      <x:c r="D5" s="93" t="str">
        <x:v>Severity</x:v>
      </x:c>
      <x:c r="E5" s="93" t="str">
        <x:v>Evidence</x:v>
      </x:c>
      <x:c r="F5" s="93" t="str">
        <x:v>Action / note</x:v>
      </x:c>
      <x:c r="G5" s="93" t="str">
        <x:v>Status</x:v>
      </x:c>
    </x:row>
    <x:row r="6" ht="72" customHeight="1">
      <x:c r="A6" s="59" t="str">
        <x:v>F-001</x:v>
      </x:c>
      <x:c r="B6" s="60" t="str">
        <x:v>Anonymous email/site registration can create a second account when the same human already started in the app.</x:v>
      </x:c>
      <x:c r="C6" s="60" t="str">
        <x:v>Logistical/UX</x:v>
      </x:c>
      <x:c r="D6" s="60" t="str">
        <x:v>High</x:v>
      </x:c>
      <x:c r="E6" s="60" t="str">
        <x:v>Expected by backend because no install/session proof is present.</x:v>
      </x:c>
      <x:c r="F6" s="60" t="str">
        <x:v>Documented in Identity Matrix ID-005; public email-registration copy now tells existing app users to open cabinet from the app.</x:v>
      </x:c>
      <x:c r="G6" s="61" t="str">
        <x:v>FIXED_UX_COPY</x:v>
      </x:c>
    </x:row>
    <x:row r="7" ht="72" customHeight="1">
      <x:c r="A7" s="59" t="str">
        <x:v>F-002</x:v>
      </x:c>
      <x:c r="B7" s="60" t="str">
        <x:v>App-session email linking must stay single-account.</x:v>
      </x:c>
      <x:c r="C7" s="60" t="str">
        <x:v>Regression guard</x:v>
      </x:c>
      <x:c r="D7" s="60" t="str">
        <x:v>High</x:v>
      </x:c>
      <x:c r="E7" s="60" t="str">
        <x:v>New automated test proves app -&gt; email -&gt; verify -&gt; email login returns the original app account and no extra User row.</x:v>
      </x:c>
      <x:c r="F7" s="60" t="str">
        <x:v>Added portal_bot/tests/test_email_auth.py::test_email_register_from_app_session_links_to_app_account.</x:v>
      </x:c>
      <x:c r="G7" s="61" t="str">
        <x:v>FIXED_TESTED</x:v>
      </x:c>
    </x:row>
    <x:row r="8" ht="72" customHeight="1">
      <x:c r="A8" s="59" t="str">
        <x:v>F-003</x:v>
      </x:c>
      <x:c r="B8" s="60" t="str">
        <x:v>Telegram bot app-link binding has conflict handling in code, but focused automated conflict tests are still missing.</x:v>
      </x:c>
      <x:c r="C8" s="60" t="str">
        <x:v>Coverage</x:v>
      </x:c>
      <x:c r="D8" s="60" t="str">
        <x:v>Medium</x:v>
      </x:c>
      <x:c r="E8" s="60" t="str">
        <x:v>bot.py returns telegram_already_linked/account_linked_elsewhere statuses and user-facing messages.</x:v>
      </x:c>
      <x:c r="F8" s="60" t="str">
        <x:v>Record as partial; add service-level/bot tests when bot import/mocking lane is available.</x:v>
      </x:c>
      <x:c r="G8" s="61" t="str">
        <x:v>OPEN</x:v>
      </x:c>
    </x:row>
    <x:row r="9" ht="72" customHeight="1">
      <x:c r="A9" s="59" t="str">
        <x:v>F-004</x:v>
      </x:c>
      <x:c r="B9" s="60" t="str">
        <x:v>Anonymous public checkout intentionally cannot know the user's app account.</x:v>
      </x:c>
      <x:c r="C9" s="60" t="str">
        <x:v>Logistical/UX</x:v>
      </x:c>
      <x:c r="D9" s="60" t="str">
        <x:v>High</x:v>
      </x:c>
      <x:c r="E9" s="60" t="str">
        <x:v>Fulfillment uses emailed activation key; the user must redeem the key in the target app/web account.</x:v>
      </x:c>
      <x:c r="F9" s="60" t="str">
        <x:v>Checkout copy now says the key extends the profile where it is activated; live checkout/email/key redeem remains required.</x:v>
      </x:c>
      <x:c r="G9" s="61" t="str">
        <x:v>PARTIAL</x:v>
      </x:c>
    </x:row>
    <x:row r="10" ht="72" customHeight="1">
      <x:c r="A10" s="59" t="str">
        <x:v>F-005</x:v>
      </x:c>
      <x:c r="B10" s="60" t="str">
        <x:v>Admin/support needs duplicate-account triage by email, Telegram id, app account id, install/device, and checkout key.</x:v>
      </x:c>
      <x:c r="C10" s="60" t="str">
        <x:v>Operations</x:v>
      </x:c>
      <x:c r="D10" s="60" t="str">
        <x:v>Medium</x:v>
      </x:c>
      <x:c r="E10" s="60" t="str">
        <x:v>APIs expose linked identities, auth_origin, and device context, but this pass did not run admin browser E2E.</x:v>
      </x:c>
      <x:c r="F10" s="60" t="str">
        <x:v>Add support playbook and run manual admin search around split account examples.</x:v>
      </x:c>
      <x:c r="G10" s="61" t="str">
        <x:v>PARTIAL</x:v>
      </x:c>
    </x:row>
  </x:sheetData>
  <x:mergeCells>
    <x:mergeCell ref="A1:G1"/>
    <x:mergeCell ref="A2:G3"/>
  </x:mergeCells>
  <x:pageMargins left="0.7" right="0.7" top="0.75" bottom="0.75" header="0.3" footer="0.3"/>
</x:worksheet>
</file>